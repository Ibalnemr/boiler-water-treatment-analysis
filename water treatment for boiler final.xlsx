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Ibrahem\DATA ANALYSIS COURSE\1 project\New folder\get hub\"/>
    </mc:Choice>
  </mc:AlternateContent>
  <xr:revisionPtr revIDLastSave="0" documentId="13_ncr:1_{6FA6FF0C-601D-4109-A021-7050108BDABE}" xr6:coauthVersionLast="47" xr6:coauthVersionMax="47" xr10:uidLastSave="{00000000-0000-0000-0000-000000000000}"/>
  <bookViews>
    <workbookView xWindow="-120" yWindow="-120" windowWidth="20730" windowHeight="11160" tabRatio="830" xr2:uid="{00000000-000D-0000-FFFF-FFFF00000000}"/>
  </bookViews>
  <sheets>
    <sheet name="F.DASHBOARD" sheetId="19" r:id="rId1"/>
    <sheet name="Chemical data for power plant" sheetId="1" r:id="rId2"/>
    <sheet name="Descriptive Statistics  EEQUAL" sheetId="2" r:id="rId3"/>
    <sheet name="boiler" sheetId="8" state="hidden" r:id="rId4"/>
    <sheet name="Chart for condenser with HYDRAZ" sheetId="9" state="hidden" r:id="rId5"/>
    <sheet name="DASHBOARD" sheetId="14" state="hidden" r:id="rId6"/>
    <sheet name="main steam" sheetId="10" state="hidden" r:id="rId7"/>
    <sheet name="Chart for condenser with DEHA F" sheetId="13" state="hidden" r:id="rId8"/>
    <sheet name="Sheet6" sheetId="20" state="hidden" r:id="rId9"/>
    <sheet name="SLICER" sheetId="22" state="hidden" r:id="rId10"/>
    <sheet name="descriptive Statistics VALUES" sheetId="5" state="hidden" r:id="rId11"/>
    <sheet name="Sheet4" sheetId="18" state="hidden" r:id="rId12"/>
  </sheets>
  <definedNames>
    <definedName name="_xlnm._FilterDatabase" localSheetId="1" hidden="1">'Chemical data for power plant'!$A$1:$Q$72</definedName>
    <definedName name="Slicer_Variables">#N/A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escriptive Statistics  EEQUAL!$A$2:$F$17"/>
          <x15:modelTable id="Table1" name="Table1" connection="WorksheetConnection_water treatment for boiler.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8" l="1"/>
  <c r="C9" i="18"/>
  <c r="C10" i="18"/>
  <c r="C11" i="18"/>
  <c r="F17" i="5"/>
  <c r="D17" i="5"/>
  <c r="C17" i="5"/>
  <c r="B17" i="5"/>
  <c r="F16" i="5"/>
  <c r="D16" i="5"/>
  <c r="C16" i="5"/>
  <c r="B16" i="5"/>
  <c r="F15" i="5"/>
  <c r="D15" i="5"/>
  <c r="C15" i="5"/>
  <c r="B15" i="5"/>
  <c r="F14" i="5"/>
  <c r="D14" i="5"/>
  <c r="C14" i="5"/>
  <c r="B14" i="5"/>
  <c r="F13" i="5"/>
  <c r="D13" i="5"/>
  <c r="C13" i="5"/>
  <c r="B13" i="5"/>
  <c r="F12" i="5"/>
  <c r="D12" i="5"/>
  <c r="C12" i="5"/>
  <c r="B12" i="5"/>
  <c r="F11" i="5"/>
  <c r="D11" i="5"/>
  <c r="C11" i="5"/>
  <c r="B11" i="5"/>
  <c r="F10" i="5"/>
  <c r="D10" i="5"/>
  <c r="C10" i="5"/>
  <c r="B10" i="5"/>
  <c r="F9" i="5"/>
  <c r="D9" i="5"/>
  <c r="C9" i="5"/>
  <c r="B9" i="5"/>
  <c r="F8" i="5"/>
  <c r="D8" i="5"/>
  <c r="C8" i="5"/>
  <c r="B8" i="5"/>
  <c r="F7" i="5"/>
  <c r="E7" i="5"/>
  <c r="D7" i="5"/>
  <c r="C7" i="5"/>
  <c r="B7" i="5"/>
  <c r="F6" i="5"/>
  <c r="E6" i="5"/>
  <c r="D6" i="5"/>
  <c r="C6" i="5"/>
  <c r="B6" i="5"/>
  <c r="F5" i="5"/>
  <c r="E5" i="5"/>
  <c r="D5" i="5"/>
  <c r="C5" i="5"/>
  <c r="B5" i="5"/>
  <c r="D3" i="5"/>
  <c r="C3" i="5"/>
  <c r="B3" i="5"/>
  <c r="G5" i="5"/>
  <c r="G6" i="5"/>
  <c r="G7" i="5"/>
  <c r="G17" i="5"/>
  <c r="G16" i="5"/>
  <c r="G15" i="5"/>
  <c r="G14" i="5"/>
  <c r="G13" i="5"/>
  <c r="G12" i="5"/>
  <c r="G11" i="5"/>
  <c r="G10" i="5"/>
  <c r="G9" i="5"/>
  <c r="G8" i="5"/>
  <c r="E4" i="5" l="1"/>
  <c r="D4" i="5"/>
  <c r="C4" i="5"/>
  <c r="F4" i="5"/>
  <c r="B4" i="5"/>
  <c r="G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74E210-3501-401B-96A3-813530101E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<sst xmlns="http://schemas.openxmlformats.org/spreadsheetml/2006/main" count="266" uniqueCount="85">
  <si>
    <t>gas</t>
  </si>
  <si>
    <t>Diesel</t>
  </si>
  <si>
    <t>Date</t>
  </si>
  <si>
    <t>Ignition Type</t>
  </si>
  <si>
    <t>Hydrazine Kg_Day</t>
  </si>
  <si>
    <t>DEHA Kg_Day</t>
  </si>
  <si>
    <t>Condensate Ph</t>
  </si>
  <si>
    <t>Condensate Cond</t>
  </si>
  <si>
    <t>Condensate Do</t>
  </si>
  <si>
    <t>Main Steam  Ph</t>
  </si>
  <si>
    <t>Main Steam Cond</t>
  </si>
  <si>
    <t>Main Steam Fe</t>
  </si>
  <si>
    <t>Boiler
Ph</t>
  </si>
  <si>
    <t>Boiler
Cond</t>
  </si>
  <si>
    <t>Boiler
Po4</t>
  </si>
  <si>
    <t>Boiler
Fe</t>
  </si>
  <si>
    <t>Load_MW Load</t>
  </si>
  <si>
    <t>descriptive Statistics</t>
  </si>
  <si>
    <t>Variables</t>
  </si>
  <si>
    <t>Average</t>
  </si>
  <si>
    <t>MAX</t>
  </si>
  <si>
    <t>MIN</t>
  </si>
  <si>
    <t>STDEV الانحراف المعياري</t>
  </si>
  <si>
    <t>Unit Load MW</t>
  </si>
  <si>
    <t>Ammonia_Dosage_Kg</t>
  </si>
  <si>
    <t>Hydrazine_Dosage_Kg</t>
  </si>
  <si>
    <t>Phosphate_Dosage_Kg</t>
  </si>
  <si>
    <t>Ammonia Kg_Day</t>
  </si>
  <si>
    <t>Phosphate_Dosage
Kg_Day</t>
  </si>
  <si>
    <t>DEHA Dosage Kg_Day</t>
  </si>
  <si>
    <t>Boiler 
Ph</t>
  </si>
  <si>
    <t>Boiler 
Cond</t>
  </si>
  <si>
    <t>Boiler 
Po4</t>
  </si>
  <si>
    <t>Boiler 
Fe</t>
  </si>
  <si>
    <t>TOTAL</t>
  </si>
  <si>
    <t>Correlation Matrix Between Load and</t>
  </si>
  <si>
    <t>Row Labels</t>
  </si>
  <si>
    <t>Sum of Ammonia Kg_Day</t>
  </si>
  <si>
    <t>Grand Total</t>
  </si>
  <si>
    <t>Sum of Hydrazine Kg_Day</t>
  </si>
  <si>
    <t>Sum of Phosphate_Dosage
Kg_Day</t>
  </si>
  <si>
    <t>(All)</t>
  </si>
  <si>
    <t>Sum of DEHA Kg_Day</t>
  </si>
  <si>
    <t>PH</t>
  </si>
  <si>
    <t>CONDUCTIVITY</t>
  </si>
  <si>
    <t>Average of Fe</t>
  </si>
  <si>
    <t>po4</t>
  </si>
  <si>
    <t>Average of Condensate Ph</t>
  </si>
  <si>
    <t>Average of Condensate Cond</t>
  </si>
  <si>
    <t>Average of Condensate Do</t>
  </si>
  <si>
    <t>Average of Main Steam Cond</t>
  </si>
  <si>
    <t>Average of Main Steam  Ph</t>
  </si>
  <si>
    <t>Average of Main Steam Fe</t>
  </si>
  <si>
    <t>Total</t>
  </si>
  <si>
    <t>Max</t>
  </si>
  <si>
    <t>Min</t>
  </si>
  <si>
    <t>Oct</t>
  </si>
  <si>
    <t>Jan</t>
  </si>
  <si>
    <t>Mar</t>
  </si>
  <si>
    <t>Jun</t>
  </si>
  <si>
    <t>Aug</t>
  </si>
  <si>
    <t>May</t>
  </si>
  <si>
    <t>Feb</t>
  </si>
  <si>
    <t>Apr</t>
  </si>
  <si>
    <t>Jul</t>
  </si>
  <si>
    <t>Nov</t>
  </si>
  <si>
    <t>Sep</t>
  </si>
  <si>
    <t>Dec</t>
  </si>
  <si>
    <t>Sum of Phosphate_Dosage Kg_Day</t>
  </si>
  <si>
    <t>CHEMICHAL</t>
  </si>
  <si>
    <t>QUANTITY OF INJECTION</t>
  </si>
  <si>
    <t>DIFF</t>
  </si>
  <si>
    <t xml:space="preserve">Sum of Phosphate </t>
  </si>
  <si>
    <t xml:space="preserve">Sum of DEHA </t>
  </si>
  <si>
    <t xml:space="preserve">Sum of Hydrazine </t>
  </si>
  <si>
    <t>Sum of Ammonia</t>
  </si>
  <si>
    <t>Sum of Boiler 
Po4</t>
  </si>
  <si>
    <t>Average of Ammonia_Dosage_Kg</t>
  </si>
  <si>
    <t>Average of Hydrazine_Dosage_Kg</t>
  </si>
  <si>
    <t>Average of DEHA Dosage Kg_Day</t>
  </si>
  <si>
    <t xml:space="preserve">Average of Boiler </t>
  </si>
  <si>
    <t>Average of Phosphate_Dosage_Kg</t>
  </si>
  <si>
    <t>Average of Boiler ph</t>
  </si>
  <si>
    <t>Average of Boiler Fe</t>
  </si>
  <si>
    <t>Average of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</si>
</sst>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409]d\-mmm;@"/>
    <numFmt numFmtId="166" formatCode="&quot;STDEV&quot;"/>
    <numFmt numFmtId="167" formatCode="0&quot; kg&quot;"/>
    <numFmt numFmtId="168" formatCode="0.0&quot; % &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4"/>
      <color theme="0"/>
      <name val="Calibri"/>
      <family val="2"/>
      <scheme val="minor"/>
    </font>
    <font>
      <b/>
      <sz val="16"/>
      <color theme="0"/>
      <name val="Calibri"/>
      <family val="2"/>
      <scheme val="minor"/>
    </font>
    <font>
      <b/>
      <sz val="20"/>
      <color theme="0"/>
      <name val="Calibri"/>
      <family val="2"/>
      <scheme val="minor"/>
    </font>
    <font>
      <b/>
      <sz val="26"/>
      <color rgb="FFFFFF00"/>
      <name val="Arial Black"/>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theme="1"/>
        <bgColor indexed="64"/>
      </patternFill>
    </fill>
    <fill>
      <patternFill patternType="solid">
        <fgColor rgb="FFFF0000"/>
        <bgColor indexed="64"/>
      </patternFill>
    </fill>
    <fill>
      <patternFill patternType="solid">
        <fgColor theme="0" tint="-0.249977111117893"/>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bottom style="medium">
        <color theme="0"/>
      </bottom>
      <diagonal/>
    </border>
    <border>
      <left style="medium">
        <color theme="0"/>
      </left>
      <right style="medium">
        <color theme="0"/>
      </right>
      <top/>
      <bottom style="thin">
        <color indexed="64"/>
      </bottom>
      <diagonal/>
    </border>
    <border>
      <left/>
      <right/>
      <top style="medium">
        <color theme="0"/>
      </top>
      <bottom style="thin">
        <color indexed="64"/>
      </bottom>
      <diagonal/>
    </border>
    <border>
      <left/>
      <right/>
      <top/>
      <bottom style="medium">
        <color theme="0"/>
      </bottom>
      <diagonal/>
    </border>
    <border>
      <left style="medium">
        <color theme="0"/>
      </left>
      <right/>
      <top style="medium">
        <color theme="0"/>
      </top>
      <bottom style="thin">
        <color indexed="64"/>
      </bottom>
      <diagonal/>
    </border>
    <border>
      <left style="medium">
        <color theme="0"/>
      </left>
      <right/>
      <top/>
      <bottom style="thin">
        <color indexed="64"/>
      </bottom>
      <diagonal/>
    </border>
    <border>
      <left style="medium">
        <color theme="0"/>
      </left>
      <right/>
      <top/>
      <bottom style="medium">
        <color theme="0"/>
      </bottom>
      <diagonal/>
    </border>
    <border>
      <left style="medium">
        <color theme="0"/>
      </left>
      <right/>
      <top/>
      <bottom/>
      <diagonal/>
    </border>
    <border>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0">
    <xf numFmtId="0" fontId="0" fillId="0" borderId="0" xfId="0"/>
    <xf numFmtId="0" fontId="0" fillId="0" borderId="0" xfId="0" applyAlignment="1">
      <alignment horizontal="center" vertical="center"/>
    </xf>
    <xf numFmtId="2" fontId="0" fillId="0" borderId="0" xfId="0" applyNumberFormat="1"/>
    <xf numFmtId="2" fontId="0" fillId="0" borderId="0" xfId="0" applyNumberFormat="1" applyAlignment="1">
      <alignment horizontal="center" vertical="center"/>
    </xf>
    <xf numFmtId="164" fontId="0" fillId="0" borderId="0" xfId="0" applyNumberFormat="1" applyAlignment="1">
      <alignment horizontal="center" vertical="center"/>
    </xf>
    <xf numFmtId="165" fontId="0" fillId="0" borderId="19" xfId="0" applyNumberFormat="1" applyBorder="1" applyAlignment="1">
      <alignment horizontal="center" vertical="center"/>
    </xf>
    <xf numFmtId="165" fontId="0" fillId="0" borderId="19" xfId="0" applyNumberFormat="1" applyBorder="1"/>
    <xf numFmtId="1" fontId="0" fillId="0" borderId="0" xfId="0" applyNumberFormat="1" applyAlignment="1">
      <alignment horizontal="center" vertical="center"/>
    </xf>
    <xf numFmtId="0" fontId="18" fillId="34" borderId="12" xfId="0" applyFont="1" applyFill="1" applyBorder="1" applyAlignment="1">
      <alignment horizontal="center" vertical="center"/>
    </xf>
    <xf numFmtId="0" fontId="18" fillId="34" borderId="21" xfId="0" applyFont="1" applyFill="1" applyBorder="1" applyAlignment="1">
      <alignment horizontal="center" vertical="center"/>
    </xf>
    <xf numFmtId="2" fontId="18" fillId="34" borderId="21" xfId="0" applyNumberFormat="1" applyFont="1" applyFill="1" applyBorder="1" applyAlignment="1">
      <alignment horizontal="center" vertical="center"/>
    </xf>
    <xf numFmtId="0" fontId="18" fillId="34" borderId="0" xfId="0" applyFont="1" applyFill="1" applyAlignment="1">
      <alignment horizontal="center" vertical="center"/>
    </xf>
    <xf numFmtId="0" fontId="18" fillId="34" borderId="19" xfId="0" applyFont="1" applyFill="1" applyBorder="1" applyAlignment="1">
      <alignment horizontal="center" vertical="center"/>
    </xf>
    <xf numFmtId="2" fontId="18" fillId="34" borderId="19" xfId="0" applyNumberFormat="1"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20" xfId="0" applyFont="1" applyFill="1" applyBorder="1" applyAlignment="1">
      <alignment horizontal="center" vertical="center"/>
    </xf>
    <xf numFmtId="2" fontId="18" fillId="34" borderId="20" xfId="0" applyNumberFormat="1" applyFont="1" applyFill="1" applyBorder="1" applyAlignment="1">
      <alignment horizontal="center" vertical="center"/>
    </xf>
    <xf numFmtId="1" fontId="18" fillId="34" borderId="0" xfId="0" applyNumberFormat="1" applyFont="1" applyFill="1" applyAlignment="1">
      <alignment horizontal="center" vertical="center"/>
    </xf>
    <xf numFmtId="1" fontId="18" fillId="34" borderId="12" xfId="0" applyNumberFormat="1" applyFont="1" applyFill="1" applyBorder="1" applyAlignment="1">
      <alignment horizontal="center" vertical="center"/>
    </xf>
    <xf numFmtId="164" fontId="18" fillId="34" borderId="0" xfId="0" applyNumberFormat="1" applyFont="1" applyFill="1" applyAlignment="1">
      <alignment horizontal="center" vertical="center"/>
    </xf>
    <xf numFmtId="0" fontId="0" fillId="0" borderId="15" xfId="0" applyBorder="1" applyAlignment="1">
      <alignment vertical="center"/>
    </xf>
    <xf numFmtId="0" fontId="18" fillId="34" borderId="14" xfId="0" applyFont="1" applyFill="1" applyBorder="1" applyAlignment="1">
      <alignment horizontal="center" vertical="center"/>
    </xf>
    <xf numFmtId="0" fontId="17" fillId="35" borderId="17" xfId="0" applyFont="1" applyFill="1" applyBorder="1" applyAlignment="1">
      <alignment horizontal="centerContinuous" vertical="center"/>
    </xf>
    <xf numFmtId="0" fontId="17" fillId="35" borderId="18" xfId="0" applyFont="1" applyFill="1" applyBorder="1" applyAlignment="1">
      <alignment horizontal="centerContinuous"/>
    </xf>
    <xf numFmtId="0" fontId="21" fillId="35" borderId="16" xfId="0" applyFont="1" applyFill="1" applyBorder="1" applyAlignment="1">
      <alignment horizontal="centerContinuous" vertical="center"/>
    </xf>
    <xf numFmtId="0" fontId="20" fillId="35" borderId="16" xfId="0" applyFont="1" applyFill="1" applyBorder="1" applyAlignment="1">
      <alignment horizontal="centerContinuous" vertical="center"/>
    </xf>
    <xf numFmtId="0" fontId="0" fillId="0" borderId="13" xfId="0" applyBorder="1"/>
    <xf numFmtId="0" fontId="20" fillId="35" borderId="10" xfId="0" applyFont="1" applyFill="1" applyBorder="1" applyAlignment="1">
      <alignment horizontal="centerContinuous" vertical="center"/>
    </xf>
    <xf numFmtId="0" fontId="20" fillId="35" borderId="11" xfId="0" applyFont="1" applyFill="1" applyBorder="1" applyAlignment="1">
      <alignment horizontal="centerContinuous" vertical="center"/>
    </xf>
    <xf numFmtId="166" fontId="20" fillId="35" borderId="21" xfId="0" applyNumberFormat="1" applyFont="1" applyFill="1" applyBorder="1" applyAlignment="1">
      <alignment horizontal="centerContinuous" vertical="center" wrapText="1"/>
    </xf>
    <xf numFmtId="1" fontId="20" fillId="36" borderId="26" xfId="0" applyNumberFormat="1" applyFont="1" applyFill="1" applyBorder="1" applyAlignment="1">
      <alignment horizontal="center" vertical="center"/>
    </xf>
    <xf numFmtId="1" fontId="20" fillId="36" borderId="23" xfId="0" applyNumberFormat="1" applyFont="1" applyFill="1" applyBorder="1" applyAlignment="1">
      <alignment horizontal="center" vertical="center"/>
    </xf>
    <xf numFmtId="1" fontId="20" fillId="36" borderId="27" xfId="0" applyNumberFormat="1" applyFont="1" applyFill="1" applyBorder="1" applyAlignment="1">
      <alignment horizontal="center" vertical="center"/>
    </xf>
    <xf numFmtId="1" fontId="20" fillId="36" borderId="25" xfId="0" applyNumberFormat="1" applyFont="1" applyFill="1" applyBorder="1" applyAlignment="1">
      <alignment horizontal="center" vertical="center"/>
    </xf>
    <xf numFmtId="1" fontId="20" fillId="36" borderId="20" xfId="0" applyNumberFormat="1" applyFont="1" applyFill="1" applyBorder="1" applyAlignment="1">
      <alignment horizontal="center" vertical="center"/>
    </xf>
    <xf numFmtId="0" fontId="20" fillId="36" borderId="19" xfId="0" applyFont="1" applyFill="1" applyBorder="1" applyAlignment="1">
      <alignment horizontal="centerContinuous"/>
    </xf>
    <xf numFmtId="1" fontId="20" fillId="36" borderId="28" xfId="0" applyNumberFormat="1" applyFont="1" applyFill="1" applyBorder="1" applyAlignment="1">
      <alignment horizontal="center" vertical="center"/>
    </xf>
    <xf numFmtId="0" fontId="20" fillId="36" borderId="20" xfId="0" applyFont="1" applyFill="1" applyBorder="1" applyAlignment="1">
      <alignment horizontal="centerContinuous"/>
    </xf>
    <xf numFmtId="0" fontId="20" fillId="35" borderId="10" xfId="0" applyFont="1" applyFill="1" applyBorder="1" applyAlignment="1">
      <alignment horizontal="left" vertical="center"/>
    </xf>
    <xf numFmtId="0" fontId="20" fillId="35" borderId="23" xfId="0" applyFont="1" applyFill="1" applyBorder="1" applyAlignment="1">
      <alignment horizontal="left" vertical="center"/>
    </xf>
    <xf numFmtId="0" fontId="20" fillId="35" borderId="22" xfId="0" applyFont="1" applyFill="1" applyBorder="1" applyAlignment="1">
      <alignment horizontal="left" vertical="center"/>
    </xf>
    <xf numFmtId="0" fontId="20" fillId="35" borderId="24" xfId="0" applyFont="1" applyFill="1" applyBorder="1" applyAlignment="1">
      <alignment horizontal="left" vertical="center"/>
    </xf>
    <xf numFmtId="1" fontId="20" fillId="36" borderId="29" xfId="0" applyNumberFormat="1" applyFont="1" applyFill="1" applyBorder="1" applyAlignment="1">
      <alignment horizontal="center" vertical="center"/>
    </xf>
    <xf numFmtId="1" fontId="20" fillId="36" borderId="33" xfId="0" applyNumberFormat="1" applyFont="1" applyFill="1" applyBorder="1" applyAlignment="1">
      <alignment horizontal="center" vertical="center"/>
    </xf>
    <xf numFmtId="1" fontId="20" fillId="36" borderId="34" xfId="0" applyNumberFormat="1" applyFont="1" applyFill="1" applyBorder="1" applyAlignment="1">
      <alignment horizontal="center" vertical="center"/>
    </xf>
    <xf numFmtId="2" fontId="20" fillId="36" borderId="22" xfId="0" applyNumberFormat="1" applyFont="1" applyFill="1" applyBorder="1" applyAlignment="1">
      <alignment horizontal="center" vertical="center"/>
    </xf>
    <xf numFmtId="2" fontId="20" fillId="36" borderId="24" xfId="0" applyNumberFormat="1" applyFont="1" applyFill="1" applyBorder="1" applyAlignment="1">
      <alignment horizontal="center" vertical="center"/>
    </xf>
    <xf numFmtId="0" fontId="21" fillId="36" borderId="16" xfId="0" applyFont="1" applyFill="1" applyBorder="1" applyAlignment="1">
      <alignment horizontal="centerContinuous" vertical="center"/>
    </xf>
    <xf numFmtId="0" fontId="17" fillId="36" borderId="17" xfId="0" applyFont="1" applyFill="1" applyBorder="1" applyAlignment="1">
      <alignment horizontal="centerContinuous" vertical="center"/>
    </xf>
    <xf numFmtId="1" fontId="20" fillId="36" borderId="32" xfId="0" applyNumberFormat="1" applyFont="1" applyFill="1" applyBorder="1" applyAlignment="1">
      <alignment horizontal="center" vertical="center"/>
    </xf>
    <xf numFmtId="0" fontId="0" fillId="36" borderId="18" xfId="0" applyFill="1" applyBorder="1"/>
    <xf numFmtId="2" fontId="20" fillId="36" borderId="32" xfId="0" applyNumberFormat="1" applyFont="1" applyFill="1" applyBorder="1" applyAlignment="1">
      <alignment horizontal="center" vertical="center"/>
    </xf>
    <xf numFmtId="0" fontId="17" fillId="37" borderId="12" xfId="0" applyFont="1" applyFill="1" applyBorder="1" applyAlignment="1">
      <alignment horizontal="centerContinuous" vertical="center"/>
    </xf>
    <xf numFmtId="0" fontId="21" fillId="37" borderId="37" xfId="0" applyFont="1" applyFill="1" applyBorder="1" applyAlignment="1">
      <alignment horizontal="centerContinuous" vertical="center"/>
    </xf>
    <xf numFmtId="0" fontId="20" fillId="37" borderId="36" xfId="0" applyFont="1" applyFill="1" applyBorder="1" applyAlignment="1">
      <alignment horizontal="left" vertical="center"/>
    </xf>
    <xf numFmtId="0" fontId="20" fillId="37" borderId="38" xfId="0" applyFont="1" applyFill="1" applyBorder="1" applyAlignment="1">
      <alignment horizontal="left" vertical="center"/>
    </xf>
    <xf numFmtId="0" fontId="20" fillId="37" borderId="39" xfId="0" applyFont="1" applyFill="1" applyBorder="1" applyAlignment="1">
      <alignment horizontal="left" vertical="center"/>
    </xf>
    <xf numFmtId="0" fontId="20" fillId="37" borderId="40" xfId="0" applyFont="1" applyFill="1" applyBorder="1" applyAlignment="1">
      <alignment horizontal="left" vertical="center"/>
    </xf>
    <xf numFmtId="1" fontId="20" fillId="38" borderId="33" xfId="0" applyNumberFormat="1" applyFont="1" applyFill="1" applyBorder="1" applyAlignment="1">
      <alignment horizontal="center" vertical="center"/>
    </xf>
    <xf numFmtId="0" fontId="21" fillId="38" borderId="41" xfId="0" applyFont="1" applyFill="1" applyBorder="1" applyAlignment="1">
      <alignment horizontal="centerContinuous" vertical="center"/>
    </xf>
    <xf numFmtId="0" fontId="17" fillId="38" borderId="42" xfId="0" applyFont="1" applyFill="1" applyBorder="1" applyAlignment="1">
      <alignment horizontal="centerContinuous" vertical="center"/>
    </xf>
    <xf numFmtId="0" fontId="17" fillId="38" borderId="43" xfId="0" applyFont="1" applyFill="1" applyBorder="1" applyAlignment="1">
      <alignment horizontal="centerContinuous" vertical="center"/>
    </xf>
    <xf numFmtId="0" fontId="20" fillId="37" borderId="36" xfId="0" applyFont="1" applyFill="1" applyBorder="1" applyAlignment="1">
      <alignment horizontal="centerContinuous" vertical="center"/>
    </xf>
    <xf numFmtId="0" fontId="17" fillId="37" borderId="12" xfId="0" applyFont="1" applyFill="1" applyBorder="1" applyAlignment="1">
      <alignment horizontal="centerContinuous"/>
    </xf>
    <xf numFmtId="166" fontId="20" fillId="37" borderId="42" xfId="0" applyNumberFormat="1" applyFont="1" applyFill="1" applyBorder="1" applyAlignment="1">
      <alignment horizontal="centerContinuous" vertical="center" wrapText="1"/>
    </xf>
    <xf numFmtId="1" fontId="20" fillId="38" borderId="38" xfId="0" applyNumberFormat="1" applyFont="1" applyFill="1" applyBorder="1" applyAlignment="1">
      <alignment horizontal="center" vertical="center"/>
    </xf>
    <xf numFmtId="1" fontId="20" fillId="38" borderId="45" xfId="0" applyNumberFormat="1" applyFont="1" applyFill="1" applyBorder="1" applyAlignment="1">
      <alignment horizontal="center" vertical="center"/>
    </xf>
    <xf numFmtId="1" fontId="20" fillId="38" borderId="44" xfId="0" applyNumberFormat="1" applyFont="1" applyFill="1" applyBorder="1" applyAlignment="1">
      <alignment horizontal="center" vertical="center"/>
    </xf>
    <xf numFmtId="1" fontId="20" fillId="38" borderId="39" xfId="0" applyNumberFormat="1" applyFont="1" applyFill="1" applyBorder="1" applyAlignment="1">
      <alignment horizontal="center" vertical="center"/>
    </xf>
    <xf numFmtId="1" fontId="20" fillId="38" borderId="40" xfId="0" applyNumberFormat="1" applyFont="1" applyFill="1" applyBorder="1" applyAlignment="1">
      <alignment horizontal="center" vertical="center"/>
    </xf>
    <xf numFmtId="1" fontId="20" fillId="38" borderId="46" xfId="0" applyNumberFormat="1" applyFont="1" applyFill="1" applyBorder="1" applyAlignment="1">
      <alignment horizontal="center" vertical="center"/>
    </xf>
    <xf numFmtId="1" fontId="20" fillId="38" borderId="47" xfId="0" applyNumberFormat="1" applyFont="1" applyFill="1" applyBorder="1" applyAlignment="1">
      <alignment horizontal="center" vertical="center"/>
    </xf>
    <xf numFmtId="2" fontId="20" fillId="38" borderId="39" xfId="0" applyNumberFormat="1" applyFont="1" applyFill="1" applyBorder="1" applyAlignment="1">
      <alignment horizontal="center" vertical="center"/>
    </xf>
    <xf numFmtId="2" fontId="20" fillId="38" borderId="40" xfId="0" applyNumberFormat="1" applyFont="1" applyFill="1" applyBorder="1" applyAlignment="1">
      <alignment horizontal="center" vertical="center"/>
    </xf>
    <xf numFmtId="2" fontId="20" fillId="38" borderId="45" xfId="0" applyNumberFormat="1" applyFont="1" applyFill="1" applyBorder="1" applyAlignment="1">
      <alignment horizontal="center" vertical="center"/>
    </xf>
    <xf numFmtId="0" fontId="20" fillId="38" borderId="0" xfId="0" applyFont="1" applyFill="1" applyAlignment="1">
      <alignment horizontal="centerContinuous"/>
    </xf>
    <xf numFmtId="0" fontId="20" fillId="38" borderId="47" xfId="0" applyFont="1" applyFill="1" applyBorder="1" applyAlignment="1">
      <alignment horizontal="centerContinuous"/>
    </xf>
    <xf numFmtId="0" fontId="0" fillId="0" borderId="0" xfId="0" pivotButton="1"/>
    <xf numFmtId="0" fontId="0" fillId="0" borderId="0" xfId="0" applyAlignment="1">
      <alignment horizontal="left"/>
    </xf>
    <xf numFmtId="165" fontId="19" fillId="33" borderId="31" xfId="0" applyNumberFormat="1" applyFont="1" applyFill="1" applyBorder="1" applyAlignment="1">
      <alignment horizontal="center" vertical="center"/>
    </xf>
    <xf numFmtId="165" fontId="19" fillId="33" borderId="14" xfId="0" applyNumberFormat="1" applyFont="1" applyFill="1" applyBorder="1" applyAlignment="1">
      <alignment horizontal="center" vertical="center"/>
    </xf>
    <xf numFmtId="165" fontId="19" fillId="33" borderId="30" xfId="0" applyNumberFormat="1" applyFont="1" applyFill="1" applyBorder="1" applyAlignment="1">
      <alignment horizontal="center" vertical="center"/>
    </xf>
    <xf numFmtId="0" fontId="18" fillId="34" borderId="11" xfId="0" applyFont="1" applyFill="1" applyBorder="1" applyAlignment="1">
      <alignment horizontal="center" vertical="center"/>
    </xf>
    <xf numFmtId="0" fontId="18" fillId="34" borderId="13" xfId="0" applyFont="1" applyFill="1" applyBorder="1" applyAlignment="1">
      <alignment horizontal="center" vertical="center"/>
    </xf>
    <xf numFmtId="0" fontId="18" fillId="34" borderId="35" xfId="0" applyFont="1" applyFill="1" applyBorder="1" applyAlignment="1">
      <alignment horizontal="center" vertical="center"/>
    </xf>
    <xf numFmtId="165" fontId="20" fillId="33" borderId="30" xfId="0" applyNumberFormat="1" applyFont="1" applyFill="1" applyBorder="1" applyAlignment="1">
      <alignment horizontal="center" vertical="center" wrapText="1"/>
    </xf>
    <xf numFmtId="0" fontId="20" fillId="33" borderId="30" xfId="0" applyFont="1" applyFill="1" applyBorder="1" applyAlignment="1">
      <alignment horizontal="center" vertical="center" wrapText="1"/>
    </xf>
    <xf numFmtId="0" fontId="20" fillId="33" borderId="20" xfId="0" applyFont="1" applyFill="1" applyBorder="1" applyAlignment="1">
      <alignment horizontal="center" vertical="center" wrapText="1"/>
    </xf>
    <xf numFmtId="2" fontId="20" fillId="33" borderId="20" xfId="0" applyNumberFormat="1"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20" fillId="33" borderId="35" xfId="0" applyFont="1" applyFill="1" applyBorder="1" applyAlignment="1">
      <alignment horizontal="center" vertical="center" wrapText="1"/>
    </xf>
    <xf numFmtId="167" fontId="20" fillId="38" borderId="48" xfId="0" applyNumberFormat="1" applyFont="1" applyFill="1" applyBorder="1" applyAlignment="1">
      <alignment horizontal="center" vertical="center"/>
    </xf>
    <xf numFmtId="167" fontId="20" fillId="38" borderId="49" xfId="0" applyNumberFormat="1" applyFont="1" applyFill="1" applyBorder="1" applyAlignment="1">
      <alignment horizontal="center" vertical="center"/>
    </xf>
    <xf numFmtId="167" fontId="20" fillId="38" borderId="50" xfId="0" applyNumberFormat="1" applyFont="1" applyFill="1" applyBorder="1" applyAlignment="1">
      <alignment horizontal="center" vertical="center"/>
    </xf>
    <xf numFmtId="164" fontId="0" fillId="0" borderId="0" xfId="0" applyNumberFormat="1"/>
    <xf numFmtId="168" fontId="0" fillId="0" borderId="0" xfId="0" applyNumberFormat="1"/>
    <xf numFmtId="0" fontId="0" fillId="39" borderId="0" xfId="0" applyFill="1"/>
    <xf numFmtId="0" fontId="20" fillId="35" borderId="26" xfId="0" applyFont="1" applyFill="1" applyBorder="1" applyAlignment="1">
      <alignment horizontal="left" vertical="center"/>
    </xf>
    <xf numFmtId="0" fontId="20" fillId="35" borderId="25" xfId="0" applyFont="1" applyFill="1" applyBorder="1" applyAlignment="1">
      <alignment horizontal="left" vertical="center"/>
    </xf>
    <xf numFmtId="0" fontId="20" fillId="35" borderId="30" xfId="0" applyFont="1" applyFill="1" applyBorder="1" applyAlignment="1">
      <alignment horizontal="left" vertical="center"/>
    </xf>
    <xf numFmtId="0" fontId="20" fillId="35" borderId="20" xfId="0" applyFont="1" applyFill="1" applyBorder="1" applyAlignment="1">
      <alignment horizontal="centerContinuous" vertical="center"/>
    </xf>
    <xf numFmtId="0" fontId="20" fillId="35" borderId="52" xfId="0" applyFont="1" applyFill="1" applyBorder="1" applyAlignment="1">
      <alignment horizontal="left" vertical="center"/>
    </xf>
    <xf numFmtId="1" fontId="20" fillId="36" borderId="52" xfId="0" applyNumberFormat="1" applyFont="1" applyFill="1" applyBorder="1" applyAlignment="1">
      <alignment horizontal="center" vertical="center"/>
    </xf>
    <xf numFmtId="49" fontId="22" fillId="37" borderId="51" xfId="0" applyNumberFormat="1" applyFont="1" applyFill="1" applyBorder="1" applyAlignment="1">
      <alignment vertical="center"/>
    </xf>
    <xf numFmtId="49" fontId="22" fillId="37" borderId="0" xfId="0" applyNumberFormat="1" applyFont="1" applyFill="1" applyAlignment="1">
      <alignment vertical="center"/>
    </xf>
    <xf numFmtId="166" fontId="20" fillId="37" borderId="37" xfId="0" applyNumberFormat="1" applyFont="1" applyFill="1" applyBorder="1" applyAlignment="1">
      <alignment horizontal="center" vertical="center" wrapText="1"/>
    </xf>
    <xf numFmtId="166" fontId="20" fillId="37" borderId="44" xfId="0" applyNumberFormat="1" applyFont="1" applyFill="1" applyBorder="1" applyAlignment="1">
      <alignment horizontal="center" vertical="center" wrapText="1"/>
    </xf>
    <xf numFmtId="0" fontId="21" fillId="35" borderId="21" xfId="0" applyFont="1" applyFill="1" applyBorder="1" applyAlignment="1">
      <alignment horizontal="center" vertical="center" wrapText="1"/>
    </xf>
    <xf numFmtId="0" fontId="21" fillId="35" borderId="20" xfId="0" applyFont="1" applyFill="1" applyBorder="1" applyAlignment="1">
      <alignment horizontal="center"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1"/>
        <color theme="1"/>
        <name val="Calibri"/>
        <family val="2"/>
        <scheme val="minor"/>
      </font>
      <numFmt numFmtId="168" formatCode="0.0&quot; % &quot;"/>
    </dxf>
    <dxf>
      <font>
        <strike val="0"/>
        <outline val="0"/>
        <shadow val="0"/>
        <u val="none"/>
        <vertAlign val="baseline"/>
        <sz val="11"/>
        <color theme="1"/>
        <name val="Calibri"/>
        <family val="2"/>
        <scheme val="minor"/>
      </font>
      <numFmt numFmtId="168" formatCode="0.0&quot; % &quo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i val="0"/>
        <strike val="0"/>
        <condense val="0"/>
        <extend val="0"/>
        <outline val="0"/>
        <shadow val="0"/>
        <u val="none"/>
        <vertAlign val="baseline"/>
        <sz val="16"/>
        <color theme="0"/>
        <name val="Calibri"/>
        <family val="2"/>
        <scheme val="minor"/>
      </font>
      <numFmt numFmtId="1" formatCode="0"/>
      <fill>
        <patternFill patternType="solid">
          <fgColor indexed="64"/>
          <bgColor rgb="FF00B0F0"/>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font>
        <b/>
        <i val="0"/>
        <strike val="0"/>
        <condense val="0"/>
        <extend val="0"/>
        <outline val="0"/>
        <shadow val="0"/>
        <u val="none"/>
        <vertAlign val="baseline"/>
        <sz val="16"/>
        <color theme="0"/>
        <name val="Calibri"/>
        <family val="2"/>
        <scheme val="minor"/>
      </font>
      <fill>
        <patternFill patternType="solid">
          <fgColor indexed="64"/>
          <bgColor theme="0" tint="-0.34998626667073579"/>
        </patternFill>
      </fill>
      <alignment horizontal="left" vertical="center" textRotation="0" wrapText="0" indent="0" justifyLastLine="0" shrinkToFit="0" readingOrder="0"/>
      <border diagonalUp="0" diagonalDown="0">
        <left/>
        <right style="medium">
          <color indexed="64"/>
        </right>
        <top style="thin">
          <color indexed="64"/>
        </top>
        <bottom style="thin">
          <color indexed="64"/>
        </bottom>
        <vertical/>
        <horizontal/>
      </border>
    </dxf>
    <dxf>
      <border outline="0">
        <left style="medium">
          <color indexed="64"/>
        </left>
        <top style="medium">
          <color indexed="64"/>
        </top>
        <bottom style="medium">
          <color indexed="64"/>
        </bottom>
      </border>
    </dxf>
    <dxf>
      <border outline="0">
        <bottom style="medium">
          <color indexed="64"/>
        </bottom>
      </border>
    </dxf>
    <dxf>
      <numFmt numFmtId="164" formatCode="0.0"/>
    </dxf>
    <dxf>
      <numFmt numFmtId="2" formatCode="0.00"/>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numFmt numFmtId="2" formatCode="0.00"/>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numFmt numFmtId="2" formatCode="0.00"/>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4"/>
        <color theme="0"/>
        <name val="Calibri"/>
        <family val="2"/>
        <scheme val="minor"/>
      </font>
      <numFmt numFmtId="165" formatCode="[$-409]d\-mmm;@"/>
      <fill>
        <patternFill patternType="solid">
          <fgColor indexed="64"/>
          <bgColor theme="0" tint="-0.499984740745262"/>
        </patternFill>
      </fill>
      <alignment horizontal="center" vertical="center" textRotation="0" wrapText="0" indent="0" justifyLastLine="0" shrinkToFit="0" readingOrder="0"/>
      <border diagonalUp="0" diagonalDown="0">
        <left/>
        <right style="medium">
          <color indexed="64"/>
        </right>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family val="2"/>
        <scheme val="minor"/>
      </font>
      <fill>
        <patternFill patternType="solid">
          <fgColor indexed="64"/>
          <bgColor theme="0" tint="-0.49998474074526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i val="0"/>
        <sz val="18"/>
        <name val="Tahoma"/>
        <family val="2"/>
        <scheme val="none"/>
      </font>
      <fill>
        <patternFill>
          <bgColor rgb="FFFF0000"/>
        </patternFill>
      </fill>
      <border>
        <left style="medium">
          <color theme="1"/>
        </left>
        <right style="medium">
          <color theme="1"/>
        </right>
        <top style="medium">
          <color theme="1"/>
        </top>
        <bottom style="medium">
          <color theme="1"/>
        </bottom>
        <horizontal style="medium">
          <color theme="1"/>
        </horizontal>
      </border>
    </dxf>
    <dxf>
      <font>
        <sz val="14"/>
      </font>
    </dxf>
    <dxf>
      <font>
        <b/>
        <i val="0"/>
        <sz val="22"/>
        <color theme="0"/>
      </font>
      <fill>
        <patternFill>
          <bgColor theme="4" tint="0.59996337778862885"/>
        </patternFill>
      </fill>
      <border>
        <left style="thin">
          <color auto="1"/>
        </left>
        <right style="thin">
          <color auto="1"/>
        </right>
        <top style="thin">
          <color auto="1"/>
        </top>
        <bottom style="thin">
          <color auto="1"/>
        </bottom>
      </border>
    </dxf>
    <dxf>
      <font>
        <b/>
        <i val="0"/>
        <sz val="14"/>
        <name val="Tahoma"/>
        <family val="2"/>
        <scheme val="none"/>
      </font>
      <fill>
        <patternFill>
          <bgColor theme="4" tint="0.59996337778862885"/>
        </patternFill>
      </fill>
      <border>
        <left style="thin">
          <color theme="0"/>
        </left>
        <right style="thin">
          <color theme="0"/>
        </right>
        <top style="thin">
          <color theme="0"/>
        </top>
        <bottom style="thin">
          <color theme="0"/>
        </bottom>
      </border>
    </dxf>
  </dxfs>
  <tableStyles count="7" defaultTableStyle="TableStyleMedium2" defaultPivotStyle="PivotStyleLight16">
    <tableStyle name="dash board" pivot="0" table="0" count="6" xr9:uid="{99A6C258-6B50-4DB6-B57D-B37AAED33D42}">
      <tableStyleElement type="wholeTable" dxfId="40"/>
      <tableStyleElement type="headerRow" dxfId="39"/>
    </tableStyle>
    <tableStyle name="PivotTable Style 1" table="0" count="0" xr9:uid="{BAB292E6-6C6F-43D2-A9C2-8D5FD20D71F3}"/>
    <tableStyle name="Slicer Style 1" pivot="0" table="0" count="1" xr9:uid="{4AC9F202-E34D-4921-B12E-D055A961BA22}"/>
    <tableStyle name="Slicer Style 2" pivot="0" table="0" count="1" xr9:uid="{0C7D7269-F908-4AAB-AC58-0E6759DD89A7}"/>
    <tableStyle name="Slicer Style 3" pivot="0" table="0" count="3" xr9:uid="{E2AF5515-D9B8-42B2-8A21-B3F7CA0EE04B}">
      <tableStyleElement type="wholeTable" dxfId="38"/>
      <tableStyleElement type="headerRow" dxfId="37"/>
    </tableStyle>
    <tableStyle name="Slicer Style 4" pivot="0" table="0" count="1" xr9:uid="{A62EB2C6-7238-4785-8C98-422F85616B85}"/>
    <tableStyle name="Slicer Style 5" pivot="0" table="0" count="1" xr9:uid="{E977F3AF-AFF0-4255-B5C5-1D8A3C45C620}"/>
  </tableStyles>
  <colors>
    <mruColors>
      <color rgb="FF0000FF"/>
      <color rgb="FF00FF00"/>
      <color rgb="FFFFFFFF"/>
    </mruColors>
  </colors>
  <extLst>
    <ext xmlns:x14="http://schemas.microsoft.com/office/spreadsheetml/2009/9/main" uri="{46F421CA-312F-682f-3DD2-61675219B42D}">
      <x14:dxfs count="9">
        <dxf>
          <font>
            <strike val="0"/>
            <u val="none"/>
            <color theme="0"/>
          </font>
          <fill>
            <patternFill>
              <bgColor theme="1"/>
            </patternFill>
          </fill>
        </dxf>
        <dxf>
          <font>
            <color theme="0"/>
          </font>
        </dxf>
        <dxf>
          <font>
            <b val="0"/>
            <i val="0"/>
            <sz val="12"/>
            <name val="Arial Black"/>
            <family val="2"/>
            <scheme val="none"/>
          </font>
          <fill>
            <patternFill>
              <bgColor rgb="FFFFFF00"/>
            </patternFill>
          </fill>
          <border>
            <left style="thick">
              <color auto="1"/>
            </left>
            <right style="thick">
              <color auto="1"/>
            </right>
            <top style="thick">
              <color auto="1"/>
            </top>
            <bottom style="thick">
              <color auto="1"/>
            </bottom>
          </border>
        </dxf>
        <dxf>
          <font>
            <b/>
            <i val="0"/>
            <sz val="48"/>
            <color rgb="FF7030A0"/>
          </font>
        </dxf>
        <dxf>
          <font>
            <b val="0"/>
            <i val="0"/>
            <sz val="20"/>
            <name val="Arial Black"/>
            <family val="2"/>
            <scheme val="none"/>
          </font>
        </dxf>
        <dxf>
          <fill>
            <patternFill>
              <bgColor theme="0"/>
            </patternFill>
          </fill>
        </dxf>
        <dxf>
          <font>
            <color theme="0"/>
          </font>
          <fill>
            <patternFill>
              <bgColor theme="4"/>
            </patternFill>
          </fill>
        </dxf>
        <dxf>
          <fill>
            <patternFill>
              <bgColor theme="0"/>
            </patternFill>
          </fill>
        </dxf>
        <dxf>
          <font>
            <color theme="0"/>
          </font>
          <fill>
            <patternFill>
              <bgColor theme="4"/>
            </patternFill>
          </fill>
        </dxf>
      </x14:dxfs>
    </ext>
    <ext xmlns:x14="http://schemas.microsoft.com/office/spreadsheetml/2009/9/main" uri="{EB79DEF2-80B8-43e5-95BD-54CBDDF9020C}">
      <x14:slicerStyles defaultSlicerStyle="SlicerStyleLight1">
        <x14:slicerStyle name="dash board">
          <x14:slicerStyleElements>
            <x14:slicerStyleElement type="unselectedItemWithData" dxfId="8"/>
            <x14:slicerStyleElement type="selectedItemWithData" dxfId="7"/>
            <x14:slicerStyleElement type="hoveredUnselectedItemWithData" dxfId="6"/>
            <x14:slicerStyleElement type="hoveredSelectedItemWithData" dxfId="5"/>
          </x14:slicerStyleElements>
        </x14:slicerStyle>
        <x14:slicerStyle name="Slicer Style 1">
          <x14:slicerStyleElements>
            <x14:slicerStyleElement type="selectedItemWithData" dxfId="4"/>
          </x14:slicerStyleElements>
        </x14:slicerStyle>
        <x14:slicerStyle name="Slicer Style 2">
          <x14:slicerStyleElements>
            <x14:slicerStyleElement type="selectedItemWith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unselectedItemWithNoData" dxfId="1"/>
          </x14:slicerStyleElements>
        </x14:slicerStyle>
        <x14:slicerStyle name="Slicer Style 5">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 proT.xlsx]main steam!PivotTable6</c:name>
    <c:fmtId val="1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3600">
                <a:solidFill>
                  <a:schemeClr val="bg1"/>
                </a:solidFill>
              </a:rPr>
              <a:t>Chart for Main Steam</a:t>
            </a:r>
          </a:p>
        </c:rich>
      </c:tx>
      <c:layout>
        <c:manualLayout>
          <c:xMode val="edge"/>
          <c:yMode val="edge"/>
          <c:x val="1.7176427165354329E-2"/>
          <c:y val="0.1405432524059492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3.3336700412596711E-2"/>
                  <c:h val="7.0504106024077348E-2"/>
                </c:manualLayout>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3.5415386906423929E-2"/>
          <c:y val="0.3593892169728784"/>
          <c:w val="0.94835306490943949"/>
          <c:h val="0.49138232720909886"/>
        </c:manualLayout>
      </c:layout>
      <c:lineChart>
        <c:grouping val="standard"/>
        <c:varyColors val="0"/>
        <c:ser>
          <c:idx val="0"/>
          <c:order val="0"/>
          <c:tx>
            <c:strRef>
              <c:f>'main steam'!$B$4</c:f>
              <c:strCache>
                <c:ptCount val="1"/>
                <c:pt idx="0">
                  <c:v>Average of Main Steam  Ph</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'main steam'!$A$5:$A$17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steam'!$B$5:$B$17</c:f>
              <c:numCache>
                <c:formatCode>0.0</c:formatCode>
                <c:ptCount val="12"/>
                <c:pt idx="0">
                  <c:v>9.283333333333335</c:v>
                </c:pt>
                <c:pt idx="1">
                  <c:v>9.3000000000000007</c:v>
                </c:pt>
                <c:pt idx="2">
                  <c:v>9.35</c:v>
                </c:pt>
                <c:pt idx="3">
                  <c:v>9.2666666666666657</c:v>
                </c:pt>
                <c:pt idx="4">
                  <c:v>9.25</c:v>
                </c:pt>
                <c:pt idx="5">
                  <c:v>9.3833333333333329</c:v>
                </c:pt>
                <c:pt idx="6">
                  <c:v>9.3000000000000007</c:v>
                </c:pt>
                <c:pt idx="7">
                  <c:v>9.2833333333333332</c:v>
                </c:pt>
                <c:pt idx="8">
                  <c:v>9.2333333333333343</c:v>
                </c:pt>
                <c:pt idx="9">
                  <c:v>9.3166666666666682</c:v>
                </c:pt>
                <c:pt idx="10">
                  <c:v>9.3166666666666664</c:v>
                </c:pt>
                <c:pt idx="11">
                  <c:v>9.3333333333333339</c:v>
                </c:pt>
              </c:numCache>
            </c:numRef>
          </c:val>
          <c:smooth val="0"/>
          <c:extLst>
            <c:ext xmlns:c16="http://schemas.microsoft.com/office/drawing/2014/chart" uri="{C3380CC4-5D6E-409C-BE32-E72D297353CC}">
              <c16:uniqueId val="{00000000-3BA1-48EC-8DD1-CB1050965E22}"/>
            </c:ext>
          </c:extLst>
        </c:ser>
        <c:ser>
          <c:idx val="1"/>
          <c:order val="1"/>
          <c:tx>
            <c:strRef>
              <c:f>'main steam'!$C$4</c:f>
              <c:strCache>
                <c:ptCount val="1"/>
                <c:pt idx="0">
                  <c:v>Average of Main Steam Fe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'main steam'!$A$5:$A$17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steam'!$C$5:$C$17</c:f>
              <c:numCache>
                <c:formatCode>0.0</c:formatCode>
                <c:ptCount val="12"/>
                <c:pt idx="0">
                  <c:v>1.5833333333333333</c:v>
                </c:pt>
                <c:pt idx="1">
                  <c:v>1.2</c:v>
                </c:pt>
                <c:pt idx="2">
                  <c:v>3.0833333333333335</c:v>
                </c:pt>
                <c:pt idx="3">
                  <c:v>1.45</c:v>
                </c:pt>
                <c:pt idx="4">
                  <c:v>2.7500000000000004</c:v>
                </c:pt>
                <c:pt idx="5">
                  <c:v>1.8500000000000003</c:v>
                </c:pt>
                <c:pt idx="6">
                  <c:v>2.5499999999999998</c:v>
                </c:pt>
                <c:pt idx="7">
                  <c:v>2.8000000000000003</c:v>
                </c:pt>
                <c:pt idx="8">
                  <c:v>1.8333333333333333</c:v>
                </c:pt>
                <c:pt idx="9">
                  <c:v>2.6333333333333333</c:v>
                </c:pt>
                <c:pt idx="10">
                  <c:v>1.6666666666666667</c:v>
                </c:pt>
                <c:pt idx="11">
                  <c:v>1.4500000000000002</c:v>
                </c:pt>
              </c:numCache>
            </c:numRef>
          </c:val>
          <c:smooth val="0"/>
          <c:extLst>
            <c:ext xmlns:c16="http://schemas.microsoft.com/office/drawing/2014/chart" uri="{C3380CC4-5D6E-409C-BE32-E72D297353CC}">
              <c16:uniqueId val="{00000001-3BA1-48EC-8DD1-CB1050965E22}"/>
            </c:ext>
          </c:extLst>
        </c:ser>
        <c:ser>
          <c:idx val="2"/>
          <c:order val="2"/>
          <c:tx>
            <c:strRef>
              <c:f>'main steam'!$D$4</c:f>
              <c:strCache>
                <c:ptCount val="1"/>
                <c:pt idx="0">
                  <c:v>Average of Main Steam Cond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Pt>
            <c:idx val="7"/>
            <c:marker>
              <c:symbol val="none"/>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A1-48EC-8DD1-CB1050965E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'main steam'!$A$5:$A$17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steam'!$D$5:$D$17</c:f>
              <c:numCache>
                <c:formatCode>0.0</c:formatCode>
                <c:ptCount val="12"/>
                <c:pt idx="0">
                  <c:v>6.3833333333333329</c:v>
                </c:pt>
                <c:pt idx="1">
                  <c:v>6.22</c:v>
                </c:pt>
                <c:pt idx="2">
                  <c:v>6.2333333333333334</c:v>
                </c:pt>
                <c:pt idx="3">
                  <c:v>6.5166666666666666</c:v>
                </c:pt>
                <c:pt idx="4">
                  <c:v>6.75</c:v>
                </c:pt>
                <c:pt idx="5">
                  <c:v>6.4000000000000012</c:v>
                </c:pt>
                <c:pt idx="6">
                  <c:v>6.4666666666666659</c:v>
                </c:pt>
                <c:pt idx="7">
                  <c:v>6.6999999999999993</c:v>
                </c:pt>
                <c:pt idx="8">
                  <c:v>6.8833333333333329</c:v>
                </c:pt>
                <c:pt idx="9">
                  <c:v>6.45</c:v>
                </c:pt>
                <c:pt idx="10">
                  <c:v>6.7666666666666666</c:v>
                </c:pt>
                <c:pt idx="11">
                  <c:v>6.5</c:v>
                </c:pt>
              </c:numCache>
            </c:numRef>
          </c:val>
          <c:smooth val="0"/>
          <c:extLst>
            <c:ext xmlns:c16="http://schemas.microsoft.com/office/drawing/2014/chart" uri="{C3380CC4-5D6E-409C-BE32-E72D297353CC}">
              <c16:uniqueId val="{00000004-3BA1-48EC-8DD1-CB1050965E22}"/>
            </c:ext>
          </c:extLst>
        </c:ser>
        <c:dLbls>
          <c:showLegendKey val="0"/>
          <c:showVal val="0"/>
          <c:showCatName val="0"/>
          <c:showSerName val="0"/>
          <c:showPercent val="0"/>
          <c:showBubbleSize val="0"/>
        </c:dLbls>
        <c:smooth val="0"/>
        <c:axId val="1974236911"/>
        <c:axId val="1974238159"/>
      </c:lineChart>
      <c:catAx>
        <c:axId val="197423691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238159"/>
        <c:crosses val="autoZero"/>
        <c:auto val="1"/>
        <c:lblAlgn val="ctr"/>
        <c:lblOffset val="100"/>
        <c:noMultiLvlLbl val="0"/>
      </c:catAx>
      <c:valAx>
        <c:axId val="197423815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236911"/>
        <c:crosses val="autoZero"/>
        <c:crossBetween val="between"/>
      </c:valAx>
      <c:spPr>
        <a:noFill/>
        <a:ln>
          <a:noFill/>
        </a:ln>
        <a:effectLst/>
      </c:spPr>
    </c:plotArea>
    <c:legend>
      <c:legendPos val="r"/>
      <c:layout>
        <c:manualLayout>
          <c:xMode val="edge"/>
          <c:yMode val="edge"/>
          <c:x val="0.78725544945179726"/>
          <c:y val="3.3975010936133004E-2"/>
          <c:w val="0.2038793023212524"/>
          <c:h val="0.28526000656167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 proT.xlsx]boiler!PivotTable4</c:name>
    <c:fmtId val="13"/>
  </c:pivotSource>
  <c:chart>
    <c:title>
      <c:tx>
        <c:rich>
          <a:bodyPr rot="0" spcFirstLastPara="1" vertOverflow="ellipsis" vert="horz" wrap="square" anchor="ctr" anchorCtr="1"/>
          <a:lstStyle/>
          <a:p>
            <a:pPr algn="ctr" rtl="0">
              <a:defRPr lang="en-US" sz="2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rPr>
              <a:t>Chart for Boiler</a:t>
            </a:r>
          </a:p>
        </c:rich>
      </c:tx>
      <c:layout>
        <c:manualLayout>
          <c:xMode val="edge"/>
          <c:yMode val="edge"/>
          <c:x val="0.56842920676582098"/>
          <c:y val="1.5830052493438319E-2"/>
        </c:manualLayout>
      </c:layout>
      <c:overlay val="0"/>
      <c:spPr>
        <a:noFill/>
        <a:ln>
          <a:noFill/>
        </a:ln>
        <a:effectLst/>
      </c:spPr>
      <c:txPr>
        <a:bodyPr rot="0" spcFirstLastPara="1" vertOverflow="ellipsis" vert="horz" wrap="square" anchor="ctr" anchorCtr="1"/>
        <a:lstStyle/>
        <a:p>
          <a:pPr algn="ctr" rtl="0">
            <a:defRPr lang="en-US" sz="2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718E-2"/>
              <c:y val="5.555555555555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2.9956665573053369E-2"/>
              <c:y val="-4.513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593E-2"/>
              <c:y val="5.2083333333333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655E-2"/>
              <c:y val="-3.8194444444444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593E-2"/>
              <c:y val="-4.513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718E-2"/>
              <c:y val="6.597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1692776684164481E-2"/>
              <c:y val="-4.1666666666666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593E-2"/>
              <c:y val="6.597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1692776684164543E-2"/>
              <c:y val="5.2083333333333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342888779527559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8637221128608921E-2"/>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Lbl>
          <c:idx val="0"/>
          <c:layout>
            <c:manualLayout>
              <c:x val="-3.1692776684164481E-2"/>
              <c:y val="-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3.1206665573053367E-2"/>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3.294277668416448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5998332239720034E-2"/>
              <c:y val="-3.819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7734443350831178E-2"/>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3.1206665573053401E-2"/>
              <c:y val="3.8194444444444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947055446194225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5998332239720097E-2"/>
              <c:y val="3.1249999999999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5998336382194651E-2"/>
              <c:y val="-3.4722222222222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3.1206665573053433E-2"/>
              <c:y val="4.861111111111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9470554461942258E-2"/>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9470554461942192E-2"/>
              <c:y val="-4.861111111111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9470554461942192E-2"/>
              <c:y val="2.43056922572178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3.8107638888888892E-2"/>
                  <c:h val="5.5503608923884513E-2"/>
                </c:manualLayout>
              </c15:layout>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7734443350831146E-2"/>
              <c:y val="4.513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9470554461942258E-2"/>
              <c:y val="-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9470554461942383E-2"/>
              <c:y val="5.208333333333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9470554461942383E-2"/>
              <c:y val="-5.208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7734443350831146E-2"/>
              <c:y val="5.208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3.120666557305336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9470554461942258E-2"/>
              <c:y val="4.861111111111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9470554461942258E-2"/>
              <c:y val="-4.5138888888889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9470554461942258E-2"/>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3.2942776684164482E-2"/>
              <c:y val="-4.861111111111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3.9255922495956955E-2"/>
              <c:y val="-7.1673638451443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4942635011532646E-2"/>
                  <c:h val="6.2448053368328954E-2"/>
                </c:manualLayout>
              </c15:layout>
            </c:ext>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9470554461942383E-2"/>
              <c:y val="2.4305555555555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8738517060368E-2"/>
          <c:y val="0.22513642825896765"/>
          <c:w val="0.92125150371828524"/>
          <c:h val="0.61174622703412074"/>
        </c:manualLayout>
      </c:layout>
      <c:lineChart>
        <c:grouping val="standard"/>
        <c:varyColors val="0"/>
        <c:ser>
          <c:idx val="0"/>
          <c:order val="0"/>
          <c:tx>
            <c:strRef>
              <c:f>boiler!$B$5</c:f>
              <c:strCache>
                <c:ptCount val="1"/>
                <c:pt idx="0">
                  <c:v>CONDUCTIVITY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boiler!$B$6:$B$18</c:f>
              <c:numCache>
                <c:formatCode>0.00</c:formatCode>
                <c:ptCount val="12"/>
                <c:pt idx="0">
                  <c:v>13.25</c:v>
                </c:pt>
                <c:pt idx="1">
                  <c:v>12.919999999999998</c:v>
                </c:pt>
                <c:pt idx="2">
                  <c:v>12.549999999999999</c:v>
                </c:pt>
                <c:pt idx="3">
                  <c:v>13.516666666666666</c:v>
                </c:pt>
                <c:pt idx="4">
                  <c:v>13.383333333333333</c:v>
                </c:pt>
                <c:pt idx="5">
                  <c:v>12.166666666666666</c:v>
                </c:pt>
                <c:pt idx="6">
                  <c:v>12.416666666666666</c:v>
                </c:pt>
                <c:pt idx="7">
                  <c:v>13.433333333333332</c:v>
                </c:pt>
                <c:pt idx="8">
                  <c:v>14.466666666666667</c:v>
                </c:pt>
                <c:pt idx="9">
                  <c:v>13.283333333333333</c:v>
                </c:pt>
                <c:pt idx="10">
                  <c:v>13.616666666666667</c:v>
                </c:pt>
                <c:pt idx="11">
                  <c:v>13.299999999999999</c:v>
                </c:pt>
              </c:numCache>
            </c:numRef>
          </c:val>
          <c:smooth val="0"/>
          <c:extLst>
            <c:ext xmlns:c16="http://schemas.microsoft.com/office/drawing/2014/chart" uri="{C3380CC4-5D6E-409C-BE32-E72D297353CC}">
              <c16:uniqueId val="{00000000-A493-4A23-8A34-CD3096E23E9D}"/>
            </c:ext>
          </c:extLst>
        </c:ser>
        <c:ser>
          <c:idx val="1"/>
          <c:order val="1"/>
          <c:tx>
            <c:strRef>
              <c:f>boiler!$C$5</c:f>
              <c:strCache>
                <c:ptCount val="1"/>
                <c:pt idx="0">
                  <c:v>PH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boiler!$C$6:$C$18</c:f>
              <c:numCache>
                <c:formatCode>0.00</c:formatCode>
                <c:ptCount val="12"/>
                <c:pt idx="0">
                  <c:v>9.25</c:v>
                </c:pt>
                <c:pt idx="1">
                  <c:v>9.5</c:v>
                </c:pt>
                <c:pt idx="2">
                  <c:v>9.5499999999999989</c:v>
                </c:pt>
                <c:pt idx="3">
                  <c:v>9.4833333333333325</c:v>
                </c:pt>
                <c:pt idx="4">
                  <c:v>9.4500000000000011</c:v>
                </c:pt>
                <c:pt idx="5">
                  <c:v>9.5499999999999989</c:v>
                </c:pt>
                <c:pt idx="6">
                  <c:v>9.4666666666666668</c:v>
                </c:pt>
                <c:pt idx="7">
                  <c:v>9.4500000000000011</c:v>
                </c:pt>
                <c:pt idx="8">
                  <c:v>9.4</c:v>
                </c:pt>
                <c:pt idx="9">
                  <c:v>9.4833333333333325</c:v>
                </c:pt>
                <c:pt idx="10">
                  <c:v>9.4499999999999993</c:v>
                </c:pt>
                <c:pt idx="11">
                  <c:v>9.5</c:v>
                </c:pt>
              </c:numCache>
            </c:numRef>
          </c:val>
          <c:smooth val="0"/>
          <c:extLst>
            <c:ext xmlns:c16="http://schemas.microsoft.com/office/drawing/2014/chart" uri="{C3380CC4-5D6E-409C-BE32-E72D297353CC}">
              <c16:uniqueId val="{00000001-A493-4A23-8A34-CD3096E23E9D}"/>
            </c:ext>
          </c:extLst>
        </c:ser>
        <c:ser>
          <c:idx val="2"/>
          <c:order val="2"/>
          <c:tx>
            <c:strRef>
              <c:f>boiler!$D$5</c:f>
              <c:strCache>
                <c:ptCount val="1"/>
                <c:pt idx="0">
                  <c:v>po4</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A493-4A23-8A34-CD3096E23E9D}"/>
              </c:ext>
            </c:extLst>
          </c:dPt>
          <c:dPt>
            <c:idx val="1"/>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493-4A23-8A34-CD3096E23E9D}"/>
              </c:ext>
            </c:extLst>
          </c:dPt>
          <c:dPt>
            <c:idx val="2"/>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493-4A23-8A34-CD3096E23E9D}"/>
              </c:ext>
            </c:extLst>
          </c:dPt>
          <c:dPt>
            <c:idx val="3"/>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493-4A23-8A34-CD3096E23E9D}"/>
              </c:ext>
            </c:extLst>
          </c:dPt>
          <c:dPt>
            <c:idx val="4"/>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493-4A23-8A34-CD3096E23E9D}"/>
              </c:ext>
            </c:extLst>
          </c:dPt>
          <c:dPt>
            <c:idx val="5"/>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A493-4A23-8A34-CD3096E23E9D}"/>
              </c:ext>
            </c:extLst>
          </c:dPt>
          <c:dPt>
            <c:idx val="6"/>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493-4A23-8A34-CD3096E23E9D}"/>
              </c:ext>
            </c:extLst>
          </c:dPt>
          <c:dPt>
            <c:idx val="7"/>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493-4A23-8A34-CD3096E23E9D}"/>
              </c:ext>
            </c:extLst>
          </c:dPt>
          <c:dPt>
            <c:idx val="8"/>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493-4A23-8A34-CD3096E23E9D}"/>
              </c:ext>
            </c:extLst>
          </c:dPt>
          <c:dPt>
            <c:idx val="9"/>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493-4A23-8A34-CD3096E23E9D}"/>
              </c:ext>
            </c:extLst>
          </c:dPt>
          <c:dPt>
            <c:idx val="1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A493-4A23-8A34-CD3096E23E9D}"/>
              </c:ext>
            </c:extLst>
          </c:dPt>
          <c:dPt>
            <c:idx val="11"/>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A493-4A23-8A34-CD3096E23E9D}"/>
              </c:ext>
            </c:extLst>
          </c:dPt>
          <c:dLbls>
            <c:dLbl>
              <c:idx val="0"/>
              <c:layout>
                <c:manualLayout>
                  <c:x val="-2.5998332239720034E-2"/>
                  <c:y val="-3.819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93-4A23-8A34-CD3096E23E9D}"/>
                </c:ext>
              </c:extLst>
            </c:dLbl>
            <c:dLbl>
              <c:idx val="1"/>
              <c:layout>
                <c:manualLayout>
                  <c:x val="-2.7734443350831178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93-4A23-8A34-CD3096E23E9D}"/>
                </c:ext>
              </c:extLst>
            </c:dLbl>
            <c:dLbl>
              <c:idx val="2"/>
              <c:layout>
                <c:manualLayout>
                  <c:x val="-2.9470554461942258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493-4A23-8A34-CD3096E23E9D}"/>
                </c:ext>
              </c:extLst>
            </c:dLbl>
            <c:dLbl>
              <c:idx val="3"/>
              <c:layout>
                <c:manualLayout>
                  <c:x val="-2.5998336382194651E-2"/>
                  <c:y val="-3.4722222222222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493-4A23-8A34-CD3096E23E9D}"/>
                </c:ext>
              </c:extLst>
            </c:dLbl>
            <c:dLbl>
              <c:idx val="4"/>
              <c:layout>
                <c:manualLayout>
                  <c:x val="-2.9470554461942258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493-4A23-8A34-CD3096E23E9D}"/>
                </c:ext>
              </c:extLst>
            </c:dLbl>
            <c:dLbl>
              <c:idx val="5"/>
              <c:layout>
                <c:manualLayout>
                  <c:x val="-2.9470554461942192E-2"/>
                  <c:y val="-4.8611111111111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493-4A23-8A34-CD3096E23E9D}"/>
                </c:ext>
              </c:extLst>
            </c:dLbl>
            <c:dLbl>
              <c:idx val="6"/>
              <c:layout>
                <c:manualLayout>
                  <c:x val="-2.9470554461942258E-2"/>
                  <c:y val="-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A493-4A23-8A34-CD3096E23E9D}"/>
                </c:ext>
              </c:extLst>
            </c:dLbl>
            <c:dLbl>
              <c:idx val="7"/>
              <c:layout>
                <c:manualLayout>
                  <c:x val="-2.9470554461942383E-2"/>
                  <c:y val="-5.2083333333333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A493-4A23-8A34-CD3096E23E9D}"/>
                </c:ext>
              </c:extLst>
            </c:dLbl>
            <c:dLbl>
              <c:idx val="8"/>
              <c:layout>
                <c:manualLayout>
                  <c:x val="-3.1206665573053367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A493-4A23-8A34-CD3096E23E9D}"/>
                </c:ext>
              </c:extLst>
            </c:dLbl>
            <c:dLbl>
              <c:idx val="9"/>
              <c:layout>
                <c:manualLayout>
                  <c:x val="-2.9470554461942258E-2"/>
                  <c:y val="-4.5138888888889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A493-4A23-8A34-CD3096E23E9D}"/>
                </c:ext>
              </c:extLst>
            </c:dLbl>
            <c:dLbl>
              <c:idx val="10"/>
              <c:layout>
                <c:manualLayout>
                  <c:x val="-3.2942776684164482E-2"/>
                  <c:y val="-4.8611111111111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A493-4A23-8A34-CD3096E23E9D}"/>
                </c:ext>
              </c:extLst>
            </c:dLbl>
            <c:dLbl>
              <c:idx val="11"/>
              <c:layout>
                <c:manualLayout>
                  <c:x val="-3.9255922495956955E-2"/>
                  <c:y val="-7.1673638451443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4942635011532646E-2"/>
                      <c:h val="6.2448053368328954E-2"/>
                    </c:manualLayout>
                  </c15:layout>
                </c:ext>
                <c:ext xmlns:c16="http://schemas.microsoft.com/office/drawing/2014/chart" uri="{C3380CC4-5D6E-409C-BE32-E72D297353CC}">
                  <c16:uniqueId val="{00000028-A493-4A23-8A34-CD3096E23E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boiler!$D$6:$D$18</c:f>
              <c:numCache>
                <c:formatCode>0.00</c:formatCode>
                <c:ptCount val="12"/>
                <c:pt idx="0">
                  <c:v>3.9166666666666665</c:v>
                </c:pt>
                <c:pt idx="1">
                  <c:v>3.78</c:v>
                </c:pt>
                <c:pt idx="2">
                  <c:v>4</c:v>
                </c:pt>
                <c:pt idx="3">
                  <c:v>3.9333333333333336</c:v>
                </c:pt>
                <c:pt idx="4">
                  <c:v>4.1333333333333329</c:v>
                </c:pt>
                <c:pt idx="5">
                  <c:v>3.9</c:v>
                </c:pt>
                <c:pt idx="6">
                  <c:v>3.9833333333333329</c:v>
                </c:pt>
                <c:pt idx="7">
                  <c:v>4.1833333333333336</c:v>
                </c:pt>
                <c:pt idx="8">
                  <c:v>4.2333333333333334</c:v>
                </c:pt>
                <c:pt idx="9">
                  <c:v>3.9666666666666668</c:v>
                </c:pt>
                <c:pt idx="10">
                  <c:v>4.1499999999999995</c:v>
                </c:pt>
                <c:pt idx="11">
                  <c:v>3.9833333333333329</c:v>
                </c:pt>
              </c:numCache>
            </c:numRef>
          </c:val>
          <c:smooth val="0"/>
          <c:extLst>
            <c:ext xmlns:c16="http://schemas.microsoft.com/office/drawing/2014/chart" uri="{C3380CC4-5D6E-409C-BE32-E72D297353CC}">
              <c16:uniqueId val="{00000002-A493-4A23-8A34-CD3096E23E9D}"/>
            </c:ext>
          </c:extLst>
        </c:ser>
        <c:ser>
          <c:idx val="3"/>
          <c:order val="3"/>
          <c:tx>
            <c:strRef>
              <c:f>boiler!$E$5</c:f>
              <c:strCache>
                <c:ptCount val="1"/>
                <c:pt idx="0">
                  <c:v>Average of Fe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493-4A23-8A34-CD3096E23E9D}"/>
              </c:ext>
            </c:extLst>
          </c:dPt>
          <c:dPt>
            <c:idx val="1"/>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A493-4A23-8A34-CD3096E23E9D}"/>
              </c:ext>
            </c:extLst>
          </c:dPt>
          <c:dPt>
            <c:idx val="2"/>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A493-4A23-8A34-CD3096E23E9D}"/>
              </c:ext>
            </c:extLst>
          </c:dPt>
          <c:dPt>
            <c:idx val="3"/>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A493-4A23-8A34-CD3096E23E9D}"/>
              </c:ext>
            </c:extLst>
          </c:dPt>
          <c:dPt>
            <c:idx val="4"/>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A493-4A23-8A34-CD3096E23E9D}"/>
              </c:ext>
            </c:extLst>
          </c:dPt>
          <c:dPt>
            <c:idx val="5"/>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493-4A23-8A34-CD3096E23E9D}"/>
              </c:ext>
            </c:extLst>
          </c:dPt>
          <c:dPt>
            <c:idx val="6"/>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A493-4A23-8A34-CD3096E23E9D}"/>
              </c:ext>
            </c:extLst>
          </c:dPt>
          <c:dPt>
            <c:idx val="7"/>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A493-4A23-8A34-CD3096E23E9D}"/>
              </c:ext>
            </c:extLst>
          </c:dPt>
          <c:dPt>
            <c:idx val="8"/>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A493-4A23-8A34-CD3096E23E9D}"/>
              </c:ext>
            </c:extLst>
          </c:dPt>
          <c:dPt>
            <c:idx val="9"/>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A493-4A23-8A34-CD3096E23E9D}"/>
              </c:ext>
            </c:extLst>
          </c:dPt>
          <c:dPt>
            <c:idx val="10"/>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A493-4A23-8A34-CD3096E23E9D}"/>
              </c:ext>
            </c:extLst>
          </c:dPt>
          <c:dPt>
            <c:idx val="11"/>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A493-4A23-8A34-CD3096E23E9D}"/>
              </c:ext>
            </c:extLst>
          </c:dPt>
          <c:dLbls>
            <c:dLbl>
              <c:idx val="0"/>
              <c:layout>
                <c:manualLayout>
                  <c:x val="-3.2942776684164482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93-4A23-8A34-CD3096E23E9D}"/>
                </c:ext>
              </c:extLst>
            </c:dLbl>
            <c:dLbl>
              <c:idx val="1"/>
              <c:layout>
                <c:manualLayout>
                  <c:x val="-3.1206665573053367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93-4A23-8A34-CD3096E23E9D}"/>
                </c:ext>
              </c:extLst>
            </c:dLbl>
            <c:dLbl>
              <c:idx val="2"/>
              <c:layout>
                <c:manualLayout>
                  <c:x val="-3.1206665573053401E-2"/>
                  <c:y val="3.8194444444444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93-4A23-8A34-CD3096E23E9D}"/>
                </c:ext>
              </c:extLst>
            </c:dLbl>
            <c:dLbl>
              <c:idx val="3"/>
              <c:layout>
                <c:manualLayout>
                  <c:x val="-2.5998332239720097E-2"/>
                  <c:y val="3.12499999999998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493-4A23-8A34-CD3096E23E9D}"/>
                </c:ext>
              </c:extLst>
            </c:dLbl>
            <c:dLbl>
              <c:idx val="4"/>
              <c:layout>
                <c:manualLayout>
                  <c:x val="-3.1206665573053433E-2"/>
                  <c:y val="4.8611111111111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493-4A23-8A34-CD3096E23E9D}"/>
                </c:ext>
              </c:extLst>
            </c:dLbl>
            <c:dLbl>
              <c:idx val="5"/>
              <c:layout>
                <c:manualLayout>
                  <c:x val="-2.9470554461942192E-2"/>
                  <c:y val="2.43056922572178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3.8107638888888892E-2"/>
                      <c:h val="5.5503608923884513E-2"/>
                    </c:manualLayout>
                  </c15:layout>
                </c:ext>
                <c:ext xmlns:c16="http://schemas.microsoft.com/office/drawing/2014/chart" uri="{C3380CC4-5D6E-409C-BE32-E72D297353CC}">
                  <c16:uniqueId val="{0000001D-A493-4A23-8A34-CD3096E23E9D}"/>
                </c:ext>
              </c:extLst>
            </c:dLbl>
            <c:dLbl>
              <c:idx val="6"/>
              <c:layout>
                <c:manualLayout>
                  <c:x val="-2.7734443350831146E-2"/>
                  <c:y val="4.51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A493-4A23-8A34-CD3096E23E9D}"/>
                </c:ext>
              </c:extLst>
            </c:dLbl>
            <c:dLbl>
              <c:idx val="7"/>
              <c:layout>
                <c:manualLayout>
                  <c:x val="-2.9470554461942383E-2"/>
                  <c:y val="5.20833333333332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A493-4A23-8A34-CD3096E23E9D}"/>
                </c:ext>
              </c:extLst>
            </c:dLbl>
            <c:dLbl>
              <c:idx val="8"/>
              <c:layout>
                <c:manualLayout>
                  <c:x val="-2.7734443350831146E-2"/>
                  <c:y val="5.2083333333333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A493-4A23-8A34-CD3096E23E9D}"/>
                </c:ext>
              </c:extLst>
            </c:dLbl>
            <c:dLbl>
              <c:idx val="9"/>
              <c:layout>
                <c:manualLayout>
                  <c:x val="-2.9470554461942258E-2"/>
                  <c:y val="4.8611111111111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A493-4A23-8A34-CD3096E23E9D}"/>
                </c:ext>
              </c:extLst>
            </c:dLbl>
            <c:dLbl>
              <c:idx val="10"/>
              <c:layout>
                <c:manualLayout>
                  <c:x val="-2.9470554461942258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A493-4A23-8A34-CD3096E23E9D}"/>
                </c:ext>
              </c:extLst>
            </c:dLbl>
            <c:dLbl>
              <c:idx val="11"/>
              <c:layout>
                <c:manualLayout>
                  <c:x val="-2.9470554461942383E-2"/>
                  <c:y val="2.4305555555555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A493-4A23-8A34-CD3096E23E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boiler!$E$6:$E$18</c:f>
              <c:numCache>
                <c:formatCode>0.00</c:formatCode>
                <c:ptCount val="12"/>
                <c:pt idx="0">
                  <c:v>3.1666666666666665</c:v>
                </c:pt>
                <c:pt idx="1">
                  <c:v>2.42</c:v>
                </c:pt>
                <c:pt idx="2">
                  <c:v>3.2666666666666662</c:v>
                </c:pt>
                <c:pt idx="3">
                  <c:v>3.4499999999999997</c:v>
                </c:pt>
                <c:pt idx="4">
                  <c:v>4.0999999999999996</c:v>
                </c:pt>
                <c:pt idx="5">
                  <c:v>2.4666666666666668</c:v>
                </c:pt>
                <c:pt idx="6">
                  <c:v>3.6666666666666665</c:v>
                </c:pt>
                <c:pt idx="7">
                  <c:v>3.65</c:v>
                </c:pt>
                <c:pt idx="8">
                  <c:v>4.75</c:v>
                </c:pt>
                <c:pt idx="9">
                  <c:v>2.65</c:v>
                </c:pt>
                <c:pt idx="10">
                  <c:v>2.9999999999999996</c:v>
                </c:pt>
                <c:pt idx="11">
                  <c:v>2.6666666666666665</c:v>
                </c:pt>
              </c:numCache>
            </c:numRef>
          </c:val>
          <c:smooth val="0"/>
          <c:extLst>
            <c:ext xmlns:c16="http://schemas.microsoft.com/office/drawing/2014/chart" uri="{C3380CC4-5D6E-409C-BE32-E72D297353CC}">
              <c16:uniqueId val="{00000003-A493-4A23-8A34-CD3096E23E9D}"/>
            </c:ext>
          </c:extLst>
        </c:ser>
        <c:ser>
          <c:idx val="4"/>
          <c:order val="4"/>
          <c:tx>
            <c:strRef>
              <c:f>boiler!$F$5</c:f>
              <c:strCache>
                <c:ptCount val="1"/>
                <c:pt idx="0">
                  <c:v>Sum of Phosphate_Dosage
Kg_Day</c:v>
                </c:pt>
              </c:strCache>
            </c:strRef>
          </c:tx>
          <c:spPr>
            <a:ln w="34925" cap="rnd">
              <a:solidFill>
                <a:schemeClr val="tx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dPt>
            <c:idx val="0"/>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493-4A23-8A34-CD3096E23E9D}"/>
              </c:ext>
            </c:extLst>
          </c:dPt>
          <c:dPt>
            <c:idx val="1"/>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493-4A23-8A34-CD3096E23E9D}"/>
              </c:ext>
            </c:extLst>
          </c:dPt>
          <c:dPt>
            <c:idx val="2"/>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493-4A23-8A34-CD3096E23E9D}"/>
              </c:ext>
            </c:extLst>
          </c:dPt>
          <c:dPt>
            <c:idx val="3"/>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493-4A23-8A34-CD3096E23E9D}"/>
              </c:ext>
            </c:extLst>
          </c:dPt>
          <c:dPt>
            <c:idx val="4"/>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493-4A23-8A34-CD3096E23E9D}"/>
              </c:ext>
            </c:extLst>
          </c:dPt>
          <c:dPt>
            <c:idx val="5"/>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493-4A23-8A34-CD3096E23E9D}"/>
              </c:ext>
            </c:extLst>
          </c:dPt>
          <c:dPt>
            <c:idx val="6"/>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493-4A23-8A34-CD3096E23E9D}"/>
              </c:ext>
            </c:extLst>
          </c:dPt>
          <c:dPt>
            <c:idx val="7"/>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493-4A23-8A34-CD3096E23E9D}"/>
              </c:ext>
            </c:extLst>
          </c:dPt>
          <c:dPt>
            <c:idx val="8"/>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493-4A23-8A34-CD3096E23E9D}"/>
              </c:ext>
            </c:extLst>
          </c:dPt>
          <c:dPt>
            <c:idx val="9"/>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493-4A23-8A34-CD3096E23E9D}"/>
              </c:ext>
            </c:extLst>
          </c:dPt>
          <c:dPt>
            <c:idx val="10"/>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493-4A23-8A34-CD3096E23E9D}"/>
              </c:ext>
            </c:extLst>
          </c:dPt>
          <c:dPt>
            <c:idx val="11"/>
            <c:marker>
              <c:symbol val="circle"/>
              <c:size val="6"/>
              <c:spPr>
                <a:solidFill>
                  <a:srgbClr val="FF0000"/>
                </a:solidFill>
                <a:ln w="9525">
                  <a:solidFill>
                    <a:schemeClr val="tx1"/>
                  </a:solidFill>
                  <a:round/>
                </a:ln>
                <a:effectLst>
                  <a:outerShdw blurRad="57150" dist="19050" dir="5400000" algn="ctr" rotWithShape="0">
                    <a:srgbClr val="000000">
                      <a:alpha val="63000"/>
                    </a:srgbClr>
                  </a:outerShdw>
                </a:effectLst>
              </c:spPr>
            </c:marker>
            <c:bubble3D val="0"/>
            <c:spPr>
              <a:ln w="34925" cap="rnd">
                <a:solidFill>
                  <a:schemeClr val="tx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493-4A23-8A34-CD3096E23E9D}"/>
              </c:ext>
            </c:extLst>
          </c:dPt>
          <c:dLbls>
            <c:dLbl>
              <c:idx val="0"/>
              <c:layout>
                <c:manualLayout>
                  <c:x val="-3.1692776684164481E-2"/>
                  <c:y val="-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93-4A23-8A34-CD3096E23E9D}"/>
                </c:ext>
              </c:extLst>
            </c:dLbl>
            <c:dLbl>
              <c:idx val="1"/>
              <c:layout>
                <c:manualLayout>
                  <c:x val="-3.8637221128608921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93-4A23-8A34-CD3096E23E9D}"/>
                </c:ext>
              </c:extLst>
            </c:dLbl>
            <c:dLbl>
              <c:idx val="2"/>
              <c:layout>
                <c:manualLayout>
                  <c:x val="-3.3428887795275593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93-4A23-8A34-CD3096E23E9D}"/>
                </c:ext>
              </c:extLst>
            </c:dLbl>
            <c:dLbl>
              <c:idx val="3"/>
              <c:layout>
                <c:manualLayout>
                  <c:x val="-3.1692776684164543E-2"/>
                  <c:y val="5.20833333333332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93-4A23-8A34-CD3096E23E9D}"/>
                </c:ext>
              </c:extLst>
            </c:dLbl>
            <c:dLbl>
              <c:idx val="4"/>
              <c:layout>
                <c:manualLayout>
                  <c:x val="-2.9956665573053369E-2"/>
                  <c:y val="-4.51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93-4A23-8A34-CD3096E23E9D}"/>
                </c:ext>
              </c:extLst>
            </c:dLbl>
            <c:dLbl>
              <c:idx val="5"/>
              <c:layout>
                <c:manualLayout>
                  <c:x val="-3.3428887795275593E-2"/>
                  <c:y val="5.20833333333332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93-4A23-8A34-CD3096E23E9D}"/>
                </c:ext>
              </c:extLst>
            </c:dLbl>
            <c:dLbl>
              <c:idx val="6"/>
              <c:layout>
                <c:manualLayout>
                  <c:x val="-3.3428887795275655E-2"/>
                  <c:y val="-3.8194444444444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93-4A23-8A34-CD3096E23E9D}"/>
                </c:ext>
              </c:extLst>
            </c:dLbl>
            <c:dLbl>
              <c:idx val="7"/>
              <c:layout>
                <c:manualLayout>
                  <c:x val="-3.3428887795275718E-2"/>
                  <c:y val="5.555555555555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93-4A23-8A34-CD3096E23E9D}"/>
                </c:ext>
              </c:extLst>
            </c:dLbl>
            <c:dLbl>
              <c:idx val="8"/>
              <c:layout>
                <c:manualLayout>
                  <c:x val="-3.3428887795275593E-2"/>
                  <c:y val="-4.51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93-4A23-8A34-CD3096E23E9D}"/>
                </c:ext>
              </c:extLst>
            </c:dLbl>
            <c:dLbl>
              <c:idx val="9"/>
              <c:layout>
                <c:manualLayout>
                  <c:x val="-3.3428887795275718E-2"/>
                  <c:y val="6.597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93-4A23-8A34-CD3096E23E9D}"/>
                </c:ext>
              </c:extLst>
            </c:dLbl>
            <c:dLbl>
              <c:idx val="10"/>
              <c:layout>
                <c:manualLayout>
                  <c:x val="-3.1692776684164481E-2"/>
                  <c:y val="-4.16666666666666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93-4A23-8A34-CD3096E23E9D}"/>
                </c:ext>
              </c:extLst>
            </c:dLbl>
            <c:dLbl>
              <c:idx val="11"/>
              <c:layout>
                <c:manualLayout>
                  <c:x val="-3.3428887795275593E-2"/>
                  <c:y val="6.597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93-4A23-8A34-CD3096E23E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boiler!$F$6:$F$18</c:f>
              <c:numCache>
                <c:formatCode>0.00</c:formatCode>
                <c:ptCount val="12"/>
                <c:pt idx="0">
                  <c:v>18.399999999999999</c:v>
                </c:pt>
                <c:pt idx="1">
                  <c:v>16.400000000000002</c:v>
                </c:pt>
                <c:pt idx="2">
                  <c:v>19.5</c:v>
                </c:pt>
                <c:pt idx="3">
                  <c:v>19.8</c:v>
                </c:pt>
                <c:pt idx="4">
                  <c:v>19.899999999999999</c:v>
                </c:pt>
                <c:pt idx="5">
                  <c:v>20.399999999999999</c:v>
                </c:pt>
                <c:pt idx="6">
                  <c:v>20.5</c:v>
                </c:pt>
                <c:pt idx="7">
                  <c:v>21</c:v>
                </c:pt>
                <c:pt idx="8">
                  <c:v>21.1</c:v>
                </c:pt>
                <c:pt idx="9">
                  <c:v>21.599999999999998</c:v>
                </c:pt>
                <c:pt idx="10">
                  <c:v>21.7</c:v>
                </c:pt>
                <c:pt idx="11">
                  <c:v>22.2</c:v>
                </c:pt>
              </c:numCache>
            </c:numRef>
          </c:val>
          <c:smooth val="0"/>
          <c:extLst>
            <c:ext xmlns:c16="http://schemas.microsoft.com/office/drawing/2014/chart" uri="{C3380CC4-5D6E-409C-BE32-E72D297353CC}">
              <c16:uniqueId val="{00000004-A493-4A23-8A34-CD3096E23E9D}"/>
            </c:ext>
          </c:extLst>
        </c:ser>
        <c:dLbls>
          <c:dLblPos val="ctr"/>
          <c:showLegendKey val="0"/>
          <c:showVal val="1"/>
          <c:showCatName val="0"/>
          <c:showSerName val="0"/>
          <c:showPercent val="0"/>
          <c:showBubbleSize val="0"/>
        </c:dLbls>
        <c:marker val="1"/>
        <c:smooth val="0"/>
        <c:axId val="73893663"/>
        <c:axId val="73895743"/>
      </c:lineChart>
      <c:catAx>
        <c:axId val="738936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73895743"/>
        <c:crosses val="autoZero"/>
        <c:auto val="1"/>
        <c:lblAlgn val="ctr"/>
        <c:lblOffset val="100"/>
        <c:noMultiLvlLbl val="0"/>
      </c:catAx>
      <c:valAx>
        <c:axId val="738957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3893663"/>
        <c:crosses val="autoZero"/>
        <c:crossBetween val="between"/>
      </c:valAx>
      <c:spPr>
        <a:noFill/>
        <a:ln>
          <a:noFill/>
        </a:ln>
        <a:effectLst/>
      </c:spPr>
    </c:plotArea>
    <c:legend>
      <c:legendPos val="t"/>
      <c:layout>
        <c:manualLayout>
          <c:xMode val="edge"/>
          <c:yMode val="edge"/>
          <c:x val="0"/>
          <c:y val="0.11836477471566056"/>
          <c:w val="0.85631096894138237"/>
          <c:h val="0.1468047353455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rgbClr val="7030A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final.xlsx]Chart for condenser with DEHA F!PivotTable8</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3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rPr>
              <a:t>Effect of Ammonia Injection</a:t>
            </a:r>
          </a:p>
        </c:rich>
      </c:tx>
      <c:layout>
        <c:manualLayout>
          <c:xMode val="edge"/>
          <c:yMode val="edge"/>
          <c:x val="8.6805555555555559E-3"/>
          <c:y val="0.12296587926509187"/>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3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87385170603673E-2"/>
          <c:y val="0.33465004374453194"/>
          <c:w val="0.91951539260717408"/>
          <c:h val="0.51612150043744531"/>
        </c:manualLayout>
      </c:layout>
      <c:lineChart>
        <c:grouping val="standard"/>
        <c:varyColors val="0"/>
        <c:ser>
          <c:idx val="0"/>
          <c:order val="0"/>
          <c:tx>
            <c:strRef>
              <c:f>'Chart for condenser with DEHA F'!$B$4</c:f>
              <c:strCache>
                <c:ptCount val="1"/>
                <c:pt idx="0">
                  <c:v>Average of Condensate Ph</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for condenser with DEHA F'!$A$5:$A$17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DEHA F'!$B$5:$B$17</c:f>
              <c:numCache>
                <c:formatCode>0.00</c:formatCode>
                <c:ptCount val="12"/>
                <c:pt idx="0">
                  <c:v>9.0500000000000007</c:v>
                </c:pt>
                <c:pt idx="1">
                  <c:v>9.3000000000000007</c:v>
                </c:pt>
                <c:pt idx="2">
                  <c:v>9.3166666666666682</c:v>
                </c:pt>
                <c:pt idx="3">
                  <c:v>9.25</c:v>
                </c:pt>
                <c:pt idx="4">
                  <c:v>9.25</c:v>
                </c:pt>
                <c:pt idx="5">
                  <c:v>9.4333333333333318</c:v>
                </c:pt>
                <c:pt idx="6">
                  <c:v>9.3000000000000007</c:v>
                </c:pt>
                <c:pt idx="7">
                  <c:v>9.2833333333333332</c:v>
                </c:pt>
                <c:pt idx="8">
                  <c:v>9.2333333333333343</c:v>
                </c:pt>
                <c:pt idx="9">
                  <c:v>9.3166666666666682</c:v>
                </c:pt>
                <c:pt idx="10">
                  <c:v>9.3166666666666664</c:v>
                </c:pt>
                <c:pt idx="11">
                  <c:v>9.3333333333333339</c:v>
                </c:pt>
              </c:numCache>
            </c:numRef>
          </c:val>
          <c:smooth val="0"/>
          <c:extLst>
            <c:ext xmlns:c16="http://schemas.microsoft.com/office/drawing/2014/chart" uri="{C3380CC4-5D6E-409C-BE32-E72D297353CC}">
              <c16:uniqueId val="{00000000-76F5-468E-948F-9D97B0785686}"/>
            </c:ext>
          </c:extLst>
        </c:ser>
        <c:ser>
          <c:idx val="1"/>
          <c:order val="1"/>
          <c:tx>
            <c:strRef>
              <c:f>'Chart for condenser with DEHA F'!$C$4</c:f>
              <c:strCache>
                <c:ptCount val="1"/>
                <c:pt idx="0">
                  <c:v>Average of Condensate Cond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 for condenser with DEHA F'!$A$5:$A$17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DEHA F'!$C$5:$C$17</c:f>
              <c:numCache>
                <c:formatCode>0.00</c:formatCode>
                <c:ptCount val="12"/>
                <c:pt idx="0">
                  <c:v>3.7999999999999994</c:v>
                </c:pt>
                <c:pt idx="1">
                  <c:v>3.7</c:v>
                </c:pt>
                <c:pt idx="2">
                  <c:v>3.75</c:v>
                </c:pt>
                <c:pt idx="3">
                  <c:v>3.9166666666666665</c:v>
                </c:pt>
                <c:pt idx="4">
                  <c:v>3.9166666666666665</c:v>
                </c:pt>
                <c:pt idx="5">
                  <c:v>3.8333333333333335</c:v>
                </c:pt>
                <c:pt idx="6">
                  <c:v>3.8833333333333329</c:v>
                </c:pt>
                <c:pt idx="7">
                  <c:v>3.9166666666666661</c:v>
                </c:pt>
                <c:pt idx="8">
                  <c:v>4</c:v>
                </c:pt>
                <c:pt idx="9">
                  <c:v>3.8833333333333333</c:v>
                </c:pt>
                <c:pt idx="10">
                  <c:v>3.9333333333333331</c:v>
                </c:pt>
                <c:pt idx="11">
                  <c:v>3.8666666666666667</c:v>
                </c:pt>
              </c:numCache>
            </c:numRef>
          </c:val>
          <c:smooth val="0"/>
          <c:extLst>
            <c:ext xmlns:c16="http://schemas.microsoft.com/office/drawing/2014/chart" uri="{C3380CC4-5D6E-409C-BE32-E72D297353CC}">
              <c16:uniqueId val="{00000001-76F5-468E-948F-9D97B0785686}"/>
            </c:ext>
          </c:extLst>
        </c:ser>
        <c:ser>
          <c:idx val="2"/>
          <c:order val="2"/>
          <c:tx>
            <c:strRef>
              <c:f>'Chart for condenser with DEHA F'!$D$4</c:f>
              <c:strCache>
                <c:ptCount val="1"/>
                <c:pt idx="0">
                  <c:v>Sum of Ammonia Kg_Day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'Chart for condenser with DEHA F'!$A$5:$A$17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DEHA F'!$D$5:$D$17</c:f>
              <c:numCache>
                <c:formatCode>0.00</c:formatCode>
                <c:ptCount val="12"/>
                <c:pt idx="0">
                  <c:v>67</c:v>
                </c:pt>
                <c:pt idx="1">
                  <c:v>57</c:v>
                </c:pt>
                <c:pt idx="2">
                  <c:v>69.2</c:v>
                </c:pt>
                <c:pt idx="3">
                  <c:v>69.599999999999994</c:v>
                </c:pt>
                <c:pt idx="4">
                  <c:v>69.800000000000011</c:v>
                </c:pt>
                <c:pt idx="5">
                  <c:v>70.8</c:v>
                </c:pt>
                <c:pt idx="6">
                  <c:v>70.999999999999986</c:v>
                </c:pt>
                <c:pt idx="7">
                  <c:v>71.8</c:v>
                </c:pt>
                <c:pt idx="8">
                  <c:v>72</c:v>
                </c:pt>
                <c:pt idx="9">
                  <c:v>72.8</c:v>
                </c:pt>
                <c:pt idx="10">
                  <c:v>73</c:v>
                </c:pt>
                <c:pt idx="11">
                  <c:v>73.8</c:v>
                </c:pt>
              </c:numCache>
            </c:numRef>
          </c:val>
          <c:smooth val="0"/>
          <c:extLst>
            <c:ext xmlns:c16="http://schemas.microsoft.com/office/drawing/2014/chart" uri="{C3380CC4-5D6E-409C-BE32-E72D297353CC}">
              <c16:uniqueId val="{00000002-76F5-468E-948F-9D97B0785686}"/>
            </c:ext>
          </c:extLst>
        </c:ser>
        <c:dLbls>
          <c:showLegendKey val="0"/>
          <c:showVal val="0"/>
          <c:showCatName val="0"/>
          <c:showSerName val="0"/>
          <c:showPercent val="0"/>
          <c:showBubbleSize val="0"/>
        </c:dLbls>
        <c:marker val="1"/>
        <c:smooth val="0"/>
        <c:axId val="80197887"/>
        <c:axId val="80199967"/>
      </c:lineChart>
      <c:catAx>
        <c:axId val="801978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99967"/>
        <c:crosses val="autoZero"/>
        <c:auto val="1"/>
        <c:lblAlgn val="ctr"/>
        <c:lblOffset val="100"/>
        <c:noMultiLvlLbl val="0"/>
      </c:catAx>
      <c:valAx>
        <c:axId val="801999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97887"/>
        <c:crosses val="autoZero"/>
        <c:crossBetween val="between"/>
      </c:valAx>
      <c:spPr>
        <a:noFill/>
        <a:ln>
          <a:noFill/>
        </a:ln>
        <a:effectLst/>
      </c:spPr>
    </c:plotArea>
    <c:legend>
      <c:legendPos val="t"/>
      <c:layout>
        <c:manualLayout>
          <c:xMode val="edge"/>
          <c:yMode val="edge"/>
          <c:x val="1.7122019903762029E-2"/>
          <c:y val="0.28300032808398951"/>
          <c:w val="0.71444809679340915"/>
          <c:h val="5.8594160104986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 proT.xlsx]Chart for condenser with HYDRAZ!PivotTable5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b="1">
                <a:latin typeface="Arial Black" panose="020B0A04020102020204" pitchFamily="34" charset="0"/>
              </a:rPr>
              <a:t>Relation</a:t>
            </a:r>
            <a:r>
              <a:rPr lang="en-US" sz="1400" b="1" baseline="0">
                <a:latin typeface="Arial Black" panose="020B0A04020102020204" pitchFamily="34" charset="0"/>
              </a:rPr>
              <a:t> betwen injection</a:t>
            </a:r>
          </a:p>
          <a:p>
            <a:pPr>
              <a:defRPr>
                <a:latin typeface="Arial Black" panose="020B0A04020102020204" pitchFamily="34" charset="0"/>
              </a:defRPr>
            </a:pPr>
            <a:r>
              <a:rPr lang="en-US" sz="1400" b="1" baseline="0">
                <a:latin typeface="Arial Black" panose="020B0A04020102020204" pitchFamily="34" charset="0"/>
              </a:rPr>
              <a:t> </a:t>
            </a:r>
            <a:r>
              <a:rPr lang="en-US" sz="1400" b="1">
                <a:latin typeface="Arial Black" panose="020B0A04020102020204" pitchFamily="34" charset="0"/>
              </a:rPr>
              <a:t>HYDRAZINE #</a:t>
            </a:r>
            <a:r>
              <a:rPr lang="en-US" sz="1400" b="1" baseline="0">
                <a:latin typeface="Arial Black" panose="020B0A04020102020204" pitchFamily="34" charset="0"/>
              </a:rPr>
              <a:t> DEHA</a:t>
            </a:r>
            <a:r>
              <a:rPr lang="en-US" sz="1400" b="1">
                <a:latin typeface="Arial Black" panose="020B0A04020102020204" pitchFamily="34" charset="0"/>
              </a:rPr>
              <a:t> FOR DO </a:t>
            </a:r>
          </a:p>
          <a:p>
            <a:pPr>
              <a:defRPr>
                <a:latin typeface="Arial Black" panose="020B0A04020102020204" pitchFamily="34" charset="0"/>
              </a:defRPr>
            </a:pPr>
            <a:endParaRPr lang="en-US" b="1">
              <a:latin typeface="Arial Black" panose="020B0A04020102020204" pitchFamily="34" charset="0"/>
            </a:endParaRPr>
          </a:p>
        </c:rich>
      </c:tx>
      <c:layout>
        <c:manualLayout>
          <c:xMode val="edge"/>
          <c:yMode val="edge"/>
          <c:x val="0.43364898989898992"/>
          <c:y val="0.399469597550306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84901327635834E-2"/>
          <c:y val="0.16836129858767654"/>
          <c:w val="0.93555419682388186"/>
          <c:h val="0.6794009733158356"/>
        </c:manualLayout>
      </c:layout>
      <c:lineChart>
        <c:grouping val="stacked"/>
        <c:varyColors val="0"/>
        <c:ser>
          <c:idx val="0"/>
          <c:order val="0"/>
          <c:tx>
            <c:strRef>
              <c:f>'Chart for condenser with HYDRAZ'!$B$5</c:f>
              <c:strCache>
                <c:ptCount val="1"/>
                <c:pt idx="0">
                  <c:v>Average of Condensate Do</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cat>
            <c:strRef>
              <c:f>'Chart for condenser with HYDRAZ'!$A$6:$A$18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HYDRAZ'!$B$6:$B$18</c:f>
              <c:numCache>
                <c:formatCode>General</c:formatCode>
                <c:ptCount val="12"/>
                <c:pt idx="0">
                  <c:v>6.3166666666666664</c:v>
                </c:pt>
                <c:pt idx="1">
                  <c:v>5.38</c:v>
                </c:pt>
                <c:pt idx="2">
                  <c:v>5.05</c:v>
                </c:pt>
                <c:pt idx="3">
                  <c:v>5.75</c:v>
                </c:pt>
                <c:pt idx="4">
                  <c:v>6.1833333333333327</c:v>
                </c:pt>
                <c:pt idx="5">
                  <c:v>5.5333333333333341</c:v>
                </c:pt>
                <c:pt idx="6">
                  <c:v>5.7833333333333323</c:v>
                </c:pt>
                <c:pt idx="7">
                  <c:v>5.9499999999999993</c:v>
                </c:pt>
                <c:pt idx="8">
                  <c:v>5.833333333333333</c:v>
                </c:pt>
                <c:pt idx="9">
                  <c:v>5.7</c:v>
                </c:pt>
                <c:pt idx="10">
                  <c:v>6.1000000000000005</c:v>
                </c:pt>
                <c:pt idx="11">
                  <c:v>5.6333333333333329</c:v>
                </c:pt>
              </c:numCache>
            </c:numRef>
          </c:val>
          <c:smooth val="0"/>
          <c:extLst>
            <c:ext xmlns:c16="http://schemas.microsoft.com/office/drawing/2014/chart" uri="{C3380CC4-5D6E-409C-BE32-E72D297353CC}">
              <c16:uniqueId val="{00000000-4E61-4FA5-A70E-B249764BDCCC}"/>
            </c:ext>
          </c:extLst>
        </c:ser>
        <c:ser>
          <c:idx val="1"/>
          <c:order val="1"/>
          <c:tx>
            <c:strRef>
              <c:f>'Chart for condenser with HYDRAZ'!$C$5</c:f>
              <c:strCache>
                <c:ptCount val="1"/>
                <c:pt idx="0">
                  <c:v>Sum of Hydrazine Kg_Day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 for condenser with HYDRAZ'!$A$6:$A$18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HYDRAZ'!$C$6:$C$18</c:f>
              <c:numCache>
                <c:formatCode>General</c:formatCode>
                <c:ptCount val="12"/>
                <c:pt idx="0">
                  <c:v>81.8</c:v>
                </c:pt>
                <c:pt idx="1">
                  <c:v>25.599999999999998</c:v>
                </c:pt>
                <c:pt idx="2">
                  <c:v>47.3</c:v>
                </c:pt>
                <c:pt idx="3">
                  <c:v>56.3</c:v>
                </c:pt>
                <c:pt idx="4">
                  <c:v>59</c:v>
                </c:pt>
                <c:pt idx="5">
                  <c:v>53.4</c:v>
                </c:pt>
                <c:pt idx="6">
                  <c:v>51.3</c:v>
                </c:pt>
                <c:pt idx="7">
                  <c:v>55.900000000000006</c:v>
                </c:pt>
                <c:pt idx="8">
                  <c:v>50.7</c:v>
                </c:pt>
                <c:pt idx="9">
                  <c:v>47.8</c:v>
                </c:pt>
                <c:pt idx="10">
                  <c:v>63.8</c:v>
                </c:pt>
                <c:pt idx="11">
                  <c:v>55.400000000000006</c:v>
                </c:pt>
              </c:numCache>
            </c:numRef>
          </c:val>
          <c:smooth val="0"/>
          <c:extLst>
            <c:ext xmlns:c16="http://schemas.microsoft.com/office/drawing/2014/chart" uri="{C3380CC4-5D6E-409C-BE32-E72D297353CC}">
              <c16:uniqueId val="{00000001-4E61-4FA5-A70E-B249764BDCCC}"/>
            </c:ext>
          </c:extLst>
        </c:ser>
        <c:ser>
          <c:idx val="2"/>
          <c:order val="2"/>
          <c:tx>
            <c:strRef>
              <c:f>'Chart for condenser with HYDRAZ'!$D$5</c:f>
              <c:strCache>
                <c:ptCount val="1"/>
                <c:pt idx="0">
                  <c:v>Sum of DEHA Kg_Day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'Chart for condenser with HYDRAZ'!$A$6:$A$18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HYDRAZ'!$D$6:$D$18</c:f>
              <c:numCache>
                <c:formatCode>General</c:formatCode>
                <c:ptCount val="12"/>
                <c:pt idx="0">
                  <c:v>18</c:v>
                </c:pt>
                <c:pt idx="1">
                  <c:v>30</c:v>
                </c:pt>
                <c:pt idx="2">
                  <c:v>63</c:v>
                </c:pt>
                <c:pt idx="3">
                  <c:v>62</c:v>
                </c:pt>
                <c:pt idx="4">
                  <c:v>60</c:v>
                </c:pt>
                <c:pt idx="5">
                  <c:v>55</c:v>
                </c:pt>
                <c:pt idx="6">
                  <c:v>61</c:v>
                </c:pt>
                <c:pt idx="7">
                  <c:v>64</c:v>
                </c:pt>
                <c:pt idx="8">
                  <c:v>66</c:v>
                </c:pt>
                <c:pt idx="9">
                  <c:v>74</c:v>
                </c:pt>
                <c:pt idx="10">
                  <c:v>76</c:v>
                </c:pt>
                <c:pt idx="11">
                  <c:v>66</c:v>
                </c:pt>
              </c:numCache>
            </c:numRef>
          </c:val>
          <c:smooth val="0"/>
          <c:extLst>
            <c:ext xmlns:c16="http://schemas.microsoft.com/office/drawing/2014/chart" uri="{C3380CC4-5D6E-409C-BE32-E72D297353CC}">
              <c16:uniqueId val="{00000002-4E61-4FA5-A70E-B249764BDCCC}"/>
            </c:ext>
          </c:extLst>
        </c:ser>
        <c:dLbls>
          <c:showLegendKey val="0"/>
          <c:showVal val="0"/>
          <c:showCatName val="0"/>
          <c:showSerName val="0"/>
          <c:showPercent val="0"/>
          <c:showBubbleSize val="0"/>
        </c:dLbls>
        <c:marker val="1"/>
        <c:smooth val="0"/>
        <c:axId val="1971737695"/>
        <c:axId val="80421039"/>
      </c:lineChart>
      <c:catAx>
        <c:axId val="1971737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421039"/>
        <c:crosses val="autoZero"/>
        <c:auto val="1"/>
        <c:lblAlgn val="ctr"/>
        <c:lblOffset val="100"/>
        <c:noMultiLvlLbl val="0"/>
      </c:catAx>
      <c:valAx>
        <c:axId val="80421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1737695"/>
        <c:crosses val="autoZero"/>
        <c:crossBetween val="between"/>
      </c:valAx>
      <c:spPr>
        <a:noFill/>
        <a:ln>
          <a:noFill/>
        </a:ln>
        <a:effectLst/>
      </c:spPr>
    </c:plotArea>
    <c:legend>
      <c:legendPos val="t"/>
      <c:layout>
        <c:manualLayout>
          <c:xMode val="edge"/>
          <c:yMode val="edge"/>
          <c:x val="2.9850837774066122E-2"/>
          <c:y val="0.20027449693788277"/>
          <c:w val="0.77826128741483092"/>
          <c:h val="5.8594160104986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3200"/>
              <a:t>HYDRAZINE #</a:t>
            </a:r>
            <a:r>
              <a:rPr lang="en-US" sz="3200" baseline="0"/>
              <a:t> DEHA</a:t>
            </a:r>
            <a:endParaRPr lang="en-US" sz="3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7.6300991645214394E-3"/>
          <c:y val="0.16310777559055117"/>
          <c:w val="0.64956646125180106"/>
          <c:h val="0.81605889107611551"/>
        </c:manualLayout>
      </c:layout>
      <c:pieChart>
        <c:varyColors val="1"/>
        <c:ser>
          <c:idx val="0"/>
          <c:order val="0"/>
          <c:spPr>
            <a:ln>
              <a:solidFill>
                <a:schemeClr val="tx1"/>
              </a:solidFill>
            </a:ln>
          </c:spPr>
          <c:dPt>
            <c:idx val="0"/>
            <c:bubble3D val="0"/>
            <c:explosion val="5"/>
            <c:spPr>
              <a:solidFill>
                <a:srgbClr val="FFFF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BD-4FDB-9B27-D06050159059}"/>
              </c:ext>
            </c:extLst>
          </c:dPt>
          <c:dPt>
            <c:idx val="1"/>
            <c:bubble3D val="0"/>
            <c:spPr>
              <a:solidFill>
                <a:srgbClr val="0000FF"/>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BD-4FDB-9B27-D06050159059}"/>
              </c:ext>
            </c:extLst>
          </c:dPt>
          <c:dLbls>
            <c:dLbl>
              <c:idx val="0"/>
              <c:layout>
                <c:manualLayout>
                  <c:x val="-0.32836115485564304"/>
                  <c:y val="3.9455776085152092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32"/>
                      <c:h val="0.25367191765316854"/>
                    </c:manualLayout>
                  </c15:layout>
                </c:ext>
                <c:ext xmlns:c16="http://schemas.microsoft.com/office/drawing/2014/chart" uri="{C3380CC4-5D6E-409C-BE32-E72D297353CC}">
                  <c16:uniqueId val="{00000001-5BBD-4FDB-9B27-D06050159059}"/>
                </c:ext>
              </c:extLst>
            </c:dLbl>
            <c:dLbl>
              <c:idx val="1"/>
              <c:layout>
                <c:manualLayout>
                  <c:x val="1.3226946631671042E-2"/>
                  <c:y val="-1.8315894776089591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32"/>
                      <c:h val="0.25367191765316854"/>
                    </c:manualLayout>
                  </c15:layout>
                </c:ext>
                <c:ext xmlns:c16="http://schemas.microsoft.com/office/drawing/2014/chart" uri="{C3380CC4-5D6E-409C-BE32-E72D297353CC}">
                  <c16:uniqueId val="{00000003-5BBD-4FDB-9B27-D06050159059}"/>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4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ellipse">
                    <a:avLst/>
                  </a:prstGeom>
                  <a:pattFill prst="pct75">
                    <a:fgClr>
                      <a:schemeClr val="dk1">
                        <a:lumMod val="75000"/>
                        <a:lumOff val="25000"/>
                      </a:schemeClr>
                    </a:fgClr>
                    <a:bgClr>
                      <a:schemeClr val="dk1">
                        <a:lumMod val="65000"/>
                        <a:lumOff val="35000"/>
                      </a:schemeClr>
                    </a:bgClr>
                  </a:pattFill>
                  <a:ln>
                    <a:noFill/>
                  </a:ln>
                </c15:spPr>
              </c:ext>
            </c:extLst>
          </c:dLbls>
          <c:cat>
            <c:strRef>
              <c:f>('Descriptive Statistics  EEQUAL'!$A$5,'Descriptive Statistics  EEQUAL'!$A$6)</c:f>
              <c:strCache>
                <c:ptCount val="2"/>
                <c:pt idx="0">
                  <c:v>Hydrazine_Dosage_Kg</c:v>
                </c:pt>
                <c:pt idx="1">
                  <c:v>DEHA Dosage Kg_Day</c:v>
                </c:pt>
              </c:strCache>
            </c:strRef>
          </c:cat>
          <c:val>
            <c:numRef>
              <c:f>('Descriptive Statistics  EEQUAL'!$E$5,'Descriptive Statistics  EEQUAL'!$E$6)</c:f>
              <c:numCache>
                <c:formatCode>0" kg"</c:formatCode>
                <c:ptCount val="2"/>
                <c:pt idx="0">
                  <c:v>648.29999999999984</c:v>
                </c:pt>
                <c:pt idx="1">
                  <c:v>695</c:v>
                </c:pt>
              </c:numCache>
            </c:numRef>
          </c:val>
          <c:extLst>
            <c:ext xmlns:c16="http://schemas.microsoft.com/office/drawing/2014/chart" uri="{C3380CC4-5D6E-409C-BE32-E72D297353CC}">
              <c16:uniqueId val="{00000004-5BBD-4FDB-9B27-D060501590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894114902303879"/>
          <c:y val="0.17691091743567208"/>
          <c:w val="0.33624403616214638"/>
          <c:h val="0.3102034120734908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381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800" b="1">
                <a:solidFill>
                  <a:srgbClr val="002060"/>
                </a:solidFill>
              </a:rPr>
              <a:t>CHEMICAL CONSUMPTION</a:t>
            </a:r>
          </a:p>
        </c:rich>
      </c:tx>
      <c:layout>
        <c:manualLayout>
          <c:xMode val="edge"/>
          <c:yMode val="edge"/>
          <c:x val="0.23013503066514132"/>
          <c:y val="2.5407370953630781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123371580204681E-3"/>
          <c:y val="0.25069918699186994"/>
          <c:w val="0.99246298852593862"/>
          <c:h val="0.713528455284553"/>
        </c:manualLayout>
      </c:layout>
      <c:bar3DChart>
        <c:barDir val="col"/>
        <c:grouping val="stacked"/>
        <c:varyColors val="0"/>
        <c:ser>
          <c:idx val="0"/>
          <c:order val="0"/>
          <c:spPr>
            <a:solidFill>
              <a:srgbClr val="00FF00"/>
            </a:solidFill>
            <a:ln>
              <a:noFill/>
            </a:ln>
            <a:effectLst/>
            <a:sp3d/>
          </c:spPr>
          <c:invertIfNegative val="0"/>
          <c:dPt>
            <c:idx val="1"/>
            <c:invertIfNegative val="0"/>
            <c:bubble3D val="0"/>
            <c:spPr>
              <a:solidFill>
                <a:srgbClr val="00B0F0"/>
              </a:solidFill>
              <a:ln>
                <a:noFill/>
              </a:ln>
              <a:effectLst/>
              <a:sp3d/>
            </c:spPr>
            <c:extLst>
              <c:ext xmlns:c16="http://schemas.microsoft.com/office/drawing/2014/chart" uri="{C3380CC4-5D6E-409C-BE32-E72D297353CC}">
                <c16:uniqueId val="{00000001-6D97-474B-AF34-559516EA9C66}"/>
              </c:ext>
            </c:extLst>
          </c:dPt>
          <c:dPt>
            <c:idx val="2"/>
            <c:invertIfNegative val="0"/>
            <c:bubble3D val="0"/>
            <c:spPr>
              <a:solidFill>
                <a:srgbClr val="FFFF00"/>
              </a:solidFill>
              <a:ln>
                <a:noFill/>
              </a:ln>
              <a:effectLst/>
              <a:sp3d/>
            </c:spPr>
            <c:extLst>
              <c:ext xmlns:c16="http://schemas.microsoft.com/office/drawing/2014/chart" uri="{C3380CC4-5D6E-409C-BE32-E72D297353CC}">
                <c16:uniqueId val="{00000003-6D97-474B-AF34-559516EA9C66}"/>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5-6D97-474B-AF34-559516EA9C66}"/>
              </c:ext>
            </c:extLst>
          </c:dPt>
          <c:dLbls>
            <c:dLbl>
              <c:idx val="0"/>
              <c:layout>
                <c:manualLayout>
                  <c:x val="-6.966405205641159E-4"/>
                  <c:y val="1.1379591250477425E-2"/>
                </c:manualLayout>
              </c:layout>
              <c:tx>
                <c:rich>
                  <a:bodyPr rot="0" spcFirstLastPara="1" vertOverflow="ellipsis" vert="horz" wrap="square" lIns="38100" tIns="19050" rIns="38100" bIns="19050" anchor="ctr" anchorCtr="0">
                    <a:noAutofit/>
                  </a:bodyPr>
                  <a:lstStyle/>
                  <a:p>
                    <a:pPr algn="ctr" rtl="0">
                      <a:defRPr lang="en-US" sz="1400" b="1" i="0" u="none" strike="noStrike" kern="1200" baseline="0">
                        <a:solidFill>
                          <a:sysClr val="windowText" lastClr="000000">
                            <a:lumMod val="75000"/>
                            <a:lumOff val="25000"/>
                          </a:sysClr>
                        </a:solidFill>
                        <a:latin typeface="+mn-lt"/>
                        <a:ea typeface="+mn-ea"/>
                        <a:cs typeface="+mn-cs"/>
                      </a:defRPr>
                    </a:pPr>
                    <a:fld id="{0A770608-31CC-4294-AAFD-04B065B47B7B}" type="CATEGORYNAME">
                      <a:rPr lang="en-US" sz="1400" b="1" i="0" u="none" strike="noStrike" kern="1200" baseline="0">
                        <a:solidFill>
                          <a:sysClr val="windowText" lastClr="000000">
                            <a:lumMod val="75000"/>
                            <a:lumOff val="25000"/>
                          </a:sysClr>
                        </a:solidFill>
                        <a:latin typeface="+mn-lt"/>
                        <a:ea typeface="+mn-ea"/>
                        <a:cs typeface="+mn-cs"/>
                      </a:rPr>
                      <a:pPr algn="ctr" rtl="0">
                        <a:defRPr lang="en-US" sz="1400" b="1">
                          <a:solidFill>
                            <a:sysClr val="windowText" lastClr="000000">
                              <a:lumMod val="75000"/>
                              <a:lumOff val="25000"/>
                            </a:sysClr>
                          </a:solidFill>
                        </a:defRPr>
                      </a:pPr>
                      <a:t>[CATEGORY NAME]</a:t>
                    </a:fld>
                    <a:r>
                      <a:rPr lang="en-US" sz="1400" b="1" i="0" u="none" strike="noStrike" kern="1200" baseline="0">
                        <a:solidFill>
                          <a:sysClr val="windowText" lastClr="000000">
                            <a:lumMod val="75000"/>
                            <a:lumOff val="25000"/>
                          </a:sysClr>
                        </a:solidFill>
                        <a:latin typeface="+mn-lt"/>
                        <a:ea typeface="+mn-ea"/>
                        <a:cs typeface="+mn-cs"/>
                      </a:rPr>
                      <a:t> 837.8 KG </a:t>
                    </a:r>
                  </a:p>
                </c:rich>
              </c:tx>
              <c:spPr>
                <a:noFill/>
                <a:ln>
                  <a:noFill/>
                </a:ln>
                <a:effectLst/>
              </c:spPr>
              <c:txPr>
                <a:bodyPr rot="0" spcFirstLastPara="1" vertOverflow="ellipsis" vert="horz" wrap="square" lIns="38100" tIns="19050" rIns="38100" bIns="19050" anchor="ctr" anchorCtr="0">
                  <a:noAutofit/>
                </a:bodyPr>
                <a:lstStyle/>
                <a:p>
                  <a:pPr algn="ctr" rtl="0">
                    <a:defRPr lang="en-US" sz="14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324947194808145"/>
                      <c:h val="0.30267415791776026"/>
                    </c:manualLayout>
                  </c15:layout>
                  <c15:dlblFieldTable/>
                  <c15:showDataLabelsRange val="0"/>
                </c:ext>
                <c:ext xmlns:c16="http://schemas.microsoft.com/office/drawing/2014/chart" uri="{C3380CC4-5D6E-409C-BE32-E72D297353CC}">
                  <c16:uniqueId val="{00000006-6D97-474B-AF34-559516EA9C66}"/>
                </c:ext>
              </c:extLst>
            </c:dLbl>
            <c:dLbl>
              <c:idx val="1"/>
              <c:layout>
                <c:manualLayout>
                  <c:x val="-8.022123266007597E-3"/>
                  <c:y val="-3.4526738845144359E-2"/>
                </c:manualLayout>
              </c:layout>
              <c:tx>
                <c:rich>
                  <a:bodyPr rot="0" spcFirstLastPara="1" vertOverflow="ellipsis" vert="horz" wrap="square" lIns="38100" tIns="19050" rIns="38100" bIns="19050" anchor="ctr" anchorCtr="0">
                    <a:noAutofit/>
                  </a:bodyPr>
                  <a:lstStyle/>
                  <a:p>
                    <a:pPr algn="ctr" rtl="0">
                      <a:defRPr lang="en-US" sz="1400" b="1" i="0" u="none" strike="noStrike" kern="1200" baseline="0">
                        <a:solidFill>
                          <a:sysClr val="windowText" lastClr="000000">
                            <a:lumMod val="75000"/>
                            <a:lumOff val="25000"/>
                          </a:sysClr>
                        </a:solidFill>
                        <a:latin typeface="+mn-lt"/>
                        <a:ea typeface="+mn-ea"/>
                        <a:cs typeface="+mn-cs"/>
                      </a:defRPr>
                    </a:pPr>
                    <a:fld id="{A5CF4539-8B80-4CE7-B1C5-B5F924DD745D}" type="CATEGORYNAME">
                      <a:rPr lang="en-US" sz="1400" b="1" i="0" u="none" strike="noStrike" kern="1200" baseline="0">
                        <a:solidFill>
                          <a:sysClr val="windowText" lastClr="000000">
                            <a:lumMod val="75000"/>
                            <a:lumOff val="25000"/>
                          </a:sysClr>
                        </a:solidFill>
                        <a:latin typeface="+mn-lt"/>
                        <a:ea typeface="+mn-ea"/>
                        <a:cs typeface="+mn-cs"/>
                      </a:rPr>
                      <a:pPr algn="ctr" rtl="0">
                        <a:defRPr lang="en-US" sz="1400" b="1">
                          <a:solidFill>
                            <a:sysClr val="windowText" lastClr="000000">
                              <a:lumMod val="75000"/>
                              <a:lumOff val="25000"/>
                            </a:sysClr>
                          </a:solidFill>
                        </a:defRPr>
                      </a:pPr>
                      <a:t>[CATEGORY NAME]</a:t>
                    </a:fld>
                    <a:r>
                      <a:rPr lang="en-US" sz="1400" b="1" i="0" u="none" strike="noStrike" kern="1200" baseline="0">
                        <a:solidFill>
                          <a:sysClr val="windowText" lastClr="000000">
                            <a:lumMod val="75000"/>
                            <a:lumOff val="25000"/>
                          </a:sysClr>
                        </a:solidFill>
                        <a:latin typeface="+mn-lt"/>
                        <a:ea typeface="+mn-ea"/>
                        <a:cs typeface="+mn-cs"/>
                      </a:rPr>
                      <a:t> 648.3 KG</a:t>
                    </a:r>
                  </a:p>
                </c:rich>
              </c:tx>
              <c:spPr>
                <a:noFill/>
                <a:ln>
                  <a:noFill/>
                </a:ln>
                <a:effectLst/>
              </c:spPr>
              <c:txPr>
                <a:bodyPr rot="0" spcFirstLastPara="1" vertOverflow="ellipsis" vert="horz" wrap="square" lIns="38100" tIns="19050" rIns="38100" bIns="19050" anchor="ctr" anchorCtr="0">
                  <a:noAutofit/>
                </a:bodyPr>
                <a:lstStyle/>
                <a:p>
                  <a:pPr algn="ctr" rtl="0">
                    <a:defRPr lang="en-US" sz="14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834568557660534"/>
                      <c:h val="0.37320018591426074"/>
                    </c:manualLayout>
                  </c15:layout>
                  <c15:dlblFieldTable/>
                  <c15:showDataLabelsRange val="0"/>
                </c:ext>
                <c:ext xmlns:c16="http://schemas.microsoft.com/office/drawing/2014/chart" uri="{C3380CC4-5D6E-409C-BE32-E72D297353CC}">
                  <c16:uniqueId val="{00000001-6D97-474B-AF34-559516EA9C66}"/>
                </c:ext>
              </c:extLst>
            </c:dLbl>
            <c:dLbl>
              <c:idx val="2"/>
              <c:layout>
                <c:manualLayout>
                  <c:x val="-1.8277022673951062E-4"/>
                  <c:y val="-1.119907189198182E-2"/>
                </c:manualLayout>
              </c:layout>
              <c:tx>
                <c:rich>
                  <a:bodyPr rot="0" spcFirstLastPara="1" vertOverflow="ellipsis" vert="horz" wrap="square" lIns="38100" tIns="19050" rIns="38100" bIns="19050" anchor="ctr" anchorCtr="0">
                    <a:noAutofit/>
                  </a:bodyPr>
                  <a:lstStyle/>
                  <a:p>
                    <a:pPr algn="ctr" rtl="0">
                      <a:defRPr lang="en-US" sz="1400" b="1" i="0" u="none" strike="noStrike" kern="1200" baseline="0">
                        <a:solidFill>
                          <a:sysClr val="windowText" lastClr="000000">
                            <a:lumMod val="75000"/>
                            <a:lumOff val="25000"/>
                          </a:sysClr>
                        </a:solidFill>
                        <a:latin typeface="+mn-lt"/>
                        <a:ea typeface="+mn-ea"/>
                        <a:cs typeface="+mn-cs"/>
                      </a:defRPr>
                    </a:pPr>
                    <a:fld id="{93D12C4E-9F3F-44A7-9E78-CFBAB891BE13}" type="CATEGORYNAME">
                      <a:rPr lang="en-US" sz="1400"/>
                      <a:pPr algn="ctr" rtl="0">
                        <a:defRPr lang="en-US" sz="1400" b="1">
                          <a:solidFill>
                            <a:sysClr val="windowText" lastClr="000000">
                              <a:lumMod val="75000"/>
                              <a:lumOff val="25000"/>
                            </a:sysClr>
                          </a:solidFill>
                        </a:defRPr>
                      </a:pPr>
                      <a:t>[CATEGORY NAME]</a:t>
                    </a:fld>
                    <a:r>
                      <a:rPr lang="en-US" sz="1400" baseline="0"/>
                      <a:t> 695 KG</a:t>
                    </a:r>
                  </a:p>
                </c:rich>
              </c:tx>
              <c:spPr>
                <a:noFill/>
                <a:ln>
                  <a:noFill/>
                </a:ln>
                <a:effectLst/>
              </c:spPr>
              <c:txPr>
                <a:bodyPr rot="0" spcFirstLastPara="1" vertOverflow="ellipsis" vert="horz" wrap="square" lIns="38100" tIns="19050" rIns="38100" bIns="19050" anchor="ctr" anchorCtr="0">
                  <a:noAutofit/>
                </a:bodyPr>
                <a:lstStyle/>
                <a:p>
                  <a:pPr algn="ctr" rtl="0">
                    <a:defRPr lang="en-US" sz="14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948145089482466"/>
                      <c:h val="0.25397118328958879"/>
                    </c:manualLayout>
                  </c15:layout>
                  <c15:dlblFieldTable/>
                  <c15:showDataLabelsRange val="0"/>
                </c:ext>
                <c:ext xmlns:c16="http://schemas.microsoft.com/office/drawing/2014/chart" uri="{C3380CC4-5D6E-409C-BE32-E72D297353CC}">
                  <c16:uniqueId val="{00000003-6D97-474B-AF34-559516EA9C66}"/>
                </c:ext>
              </c:extLst>
            </c:dLbl>
            <c:dLbl>
              <c:idx val="3"/>
              <c:layout>
                <c:manualLayout>
                  <c:x val="-1.2140480429436662E-2"/>
                  <c:y val="-1.9072615923009623E-3"/>
                </c:manualLayout>
              </c:layout>
              <c:tx>
                <c:rich>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fld id="{30D02C90-3333-459F-B64C-392A8FCE2EB8}" type="CATEGORYNAME">
                      <a:rPr lang="en-US" sz="1200" b="1" i="0" u="none" strike="noStrike" kern="1200" baseline="0">
                        <a:solidFill>
                          <a:sysClr val="windowText" lastClr="000000">
                            <a:lumMod val="75000"/>
                            <a:lumOff val="25000"/>
                          </a:sysClr>
                        </a:solidFill>
                        <a:latin typeface="+mn-lt"/>
                        <a:ea typeface="+mn-ea"/>
                        <a:cs typeface="+mn-cs"/>
                      </a:rPr>
                      <a:pPr algn="ctr" rtl="0">
                        <a:defRPr lang="en-US" sz="1200" b="1">
                          <a:solidFill>
                            <a:sysClr val="windowText" lastClr="000000">
                              <a:lumMod val="75000"/>
                              <a:lumOff val="25000"/>
                            </a:sysClr>
                          </a:solidFill>
                        </a:defRPr>
                      </a:pPr>
                      <a:t>[CATEGORY NAME]</a:t>
                    </a:fld>
                    <a:r>
                      <a:rPr lang="en-US" sz="1200" b="1" i="0" u="none" strike="noStrike" kern="1200" baseline="0">
                        <a:solidFill>
                          <a:sysClr val="windowText" lastClr="000000">
                            <a:lumMod val="75000"/>
                            <a:lumOff val="25000"/>
                          </a:sysClr>
                        </a:solidFill>
                        <a:latin typeface="+mn-lt"/>
                        <a:ea typeface="+mn-ea"/>
                        <a:cs typeface="+mn-cs"/>
                      </a:rPr>
                      <a:t> 242.5KG</a:t>
                    </a:r>
                  </a:p>
                </c:rich>
              </c:tx>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017409097529691"/>
                      <c:h val="0.34109935476815401"/>
                    </c:manualLayout>
                  </c15:layout>
                  <c15:dlblFieldTable/>
                  <c15:showDataLabelsRange val="0"/>
                </c:ext>
                <c:ext xmlns:c16="http://schemas.microsoft.com/office/drawing/2014/chart" uri="{C3380CC4-5D6E-409C-BE32-E72D297353CC}">
                  <c16:uniqueId val="{00000005-6D97-474B-AF34-559516EA9C6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Sheet4!$A$8:$A$11</c:f>
              <c:strCache>
                <c:ptCount val="4"/>
                <c:pt idx="0">
                  <c:v>Sum of Ammonia</c:v>
                </c:pt>
                <c:pt idx="1">
                  <c:v>Sum of Hydrazine </c:v>
                </c:pt>
                <c:pt idx="2">
                  <c:v>Sum of DEHA </c:v>
                </c:pt>
                <c:pt idx="3">
                  <c:v>Sum of Phosphate </c:v>
                </c:pt>
              </c:strCache>
            </c:strRef>
          </c:cat>
          <c:val>
            <c:numRef>
              <c:f>Sheet4!$B$8:$B$11</c:f>
              <c:numCache>
                <c:formatCode>0.0" % "</c:formatCode>
                <c:ptCount val="4"/>
                <c:pt idx="0">
                  <c:v>837.8</c:v>
                </c:pt>
                <c:pt idx="1">
                  <c:v>648.29999999999995</c:v>
                </c:pt>
                <c:pt idx="2">
                  <c:v>695</c:v>
                </c:pt>
                <c:pt idx="3">
                  <c:v>242.5</c:v>
                </c:pt>
              </c:numCache>
            </c:numRef>
          </c:val>
          <c:extLst>
            <c:ext xmlns:c16="http://schemas.microsoft.com/office/drawing/2014/chart" uri="{C3380CC4-5D6E-409C-BE32-E72D297353CC}">
              <c16:uniqueId val="{00000007-6D97-474B-AF34-559516EA9C66}"/>
            </c:ext>
          </c:extLst>
        </c:ser>
        <c:ser>
          <c:idx val="1"/>
          <c:order val="1"/>
          <c:spPr>
            <a:solidFill>
              <a:schemeClr val="bg1"/>
            </a:solidFill>
            <a:ln>
              <a:noFill/>
            </a:ln>
            <a:effectLst/>
            <a:scene3d>
              <a:camera prst="orthographicFront"/>
              <a:lightRig rig="threePt" dir="t"/>
            </a:scene3d>
            <a:sp3d prstMaterial="clear"/>
          </c:spPr>
          <c:invertIfNegative val="0"/>
          <c:dLbls>
            <c:delete val="1"/>
          </c:dLbls>
          <c:cat>
            <c:strRef>
              <c:f>Sheet4!$A$8:$A$11</c:f>
              <c:strCache>
                <c:ptCount val="4"/>
                <c:pt idx="0">
                  <c:v>Sum of Ammonia</c:v>
                </c:pt>
                <c:pt idx="1">
                  <c:v>Sum of Hydrazine </c:v>
                </c:pt>
                <c:pt idx="2">
                  <c:v>Sum of DEHA </c:v>
                </c:pt>
                <c:pt idx="3">
                  <c:v>Sum of Phosphate </c:v>
                </c:pt>
              </c:strCache>
            </c:strRef>
          </c:cat>
          <c:val>
            <c:numRef>
              <c:f>Sheet4!$C$8:$C$11</c:f>
              <c:numCache>
                <c:formatCode>0.0" % "</c:formatCode>
                <c:ptCount val="4"/>
                <c:pt idx="0">
                  <c:v>162.20000000000005</c:v>
                </c:pt>
                <c:pt idx="1">
                  <c:v>351.70000000000005</c:v>
                </c:pt>
                <c:pt idx="2">
                  <c:v>305</c:v>
                </c:pt>
                <c:pt idx="3">
                  <c:v>757.5</c:v>
                </c:pt>
              </c:numCache>
            </c:numRef>
          </c:val>
          <c:extLst>
            <c:ext xmlns:c16="http://schemas.microsoft.com/office/drawing/2014/chart" uri="{C3380CC4-5D6E-409C-BE32-E72D297353CC}">
              <c16:uniqueId val="{00000008-6D97-474B-AF34-559516EA9C66}"/>
            </c:ext>
          </c:extLst>
        </c:ser>
        <c:dLbls>
          <c:showLegendKey val="0"/>
          <c:showVal val="1"/>
          <c:showCatName val="0"/>
          <c:showSerName val="0"/>
          <c:showPercent val="0"/>
          <c:showBubbleSize val="0"/>
        </c:dLbls>
        <c:gapWidth val="30"/>
        <c:gapDepth val="0"/>
        <c:shape val="cylinder"/>
        <c:axId val="1416496640"/>
        <c:axId val="1416507040"/>
        <c:axId val="0"/>
      </c:bar3DChart>
      <c:catAx>
        <c:axId val="1416496640"/>
        <c:scaling>
          <c:orientation val="minMax"/>
        </c:scaling>
        <c:delete val="1"/>
        <c:axPos val="b"/>
        <c:numFmt formatCode="General" sourceLinked="1"/>
        <c:majorTickMark val="none"/>
        <c:minorTickMark val="none"/>
        <c:tickLblPos val="nextTo"/>
        <c:crossAx val="1416507040"/>
        <c:crosses val="autoZero"/>
        <c:auto val="1"/>
        <c:lblAlgn val="ctr"/>
        <c:lblOffset val="100"/>
        <c:noMultiLvlLbl val="0"/>
      </c:catAx>
      <c:valAx>
        <c:axId val="1416507040"/>
        <c:scaling>
          <c:orientation val="minMax"/>
        </c:scaling>
        <c:delete val="1"/>
        <c:axPos val="l"/>
        <c:numFmt formatCode="0.0&quot; % &quot;" sourceLinked="1"/>
        <c:majorTickMark val="none"/>
        <c:minorTickMark val="none"/>
        <c:tickLblPos val="nextTo"/>
        <c:crossAx val="141649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8100"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Chart Variables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'Descriptive Statistics  EEQUAL'!$B$2</c:f>
              <c:strCache>
                <c:ptCount val="1"/>
                <c:pt idx="0">
                  <c:v>MIN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Statistics  EEQUAL'!$A$8:$A$17</c:f>
              <c:strCache>
                <c:ptCount val="10"/>
                <c:pt idx="0">
                  <c:v>Condensate Ph</c:v>
                </c:pt>
                <c:pt idx="1">
                  <c:v>Condensate Cond</c:v>
                </c:pt>
                <c:pt idx="2">
                  <c:v>Condensate Do</c:v>
                </c:pt>
                <c:pt idx="3">
                  <c:v>Boiler 
Ph</c:v>
                </c:pt>
                <c:pt idx="4">
                  <c:v>Boiler 
Cond</c:v>
                </c:pt>
                <c:pt idx="5">
                  <c:v>Boiler 
Po4</c:v>
                </c:pt>
                <c:pt idx="6">
                  <c:v>Boiler 
Fe</c:v>
                </c:pt>
                <c:pt idx="7">
                  <c:v>Main Steam  Ph</c:v>
                </c:pt>
                <c:pt idx="8">
                  <c:v>Main Steam Cond</c:v>
                </c:pt>
                <c:pt idx="9">
                  <c:v>Main Steam Fe</c:v>
                </c:pt>
              </c:strCache>
            </c:strRef>
          </c:cat>
          <c:val>
            <c:numRef>
              <c:f>'Descriptive Statistics  EEQUAL'!$B$8:$B$17</c:f>
              <c:numCache>
                <c:formatCode>0</c:formatCode>
                <c:ptCount val="10"/>
                <c:pt idx="0">
                  <c:v>8.1</c:v>
                </c:pt>
                <c:pt idx="1">
                  <c:v>3.3</c:v>
                </c:pt>
                <c:pt idx="2">
                  <c:v>3.5</c:v>
                </c:pt>
                <c:pt idx="3">
                  <c:v>8</c:v>
                </c:pt>
                <c:pt idx="4">
                  <c:v>6.7</c:v>
                </c:pt>
                <c:pt idx="5">
                  <c:v>2.7</c:v>
                </c:pt>
                <c:pt idx="6">
                  <c:v>1.1000000000000001</c:v>
                </c:pt>
                <c:pt idx="7">
                  <c:v>8.6999999999999993</c:v>
                </c:pt>
                <c:pt idx="8">
                  <c:v>4.5</c:v>
                </c:pt>
                <c:pt idx="9">
                  <c:v>0.4</c:v>
                </c:pt>
              </c:numCache>
            </c:numRef>
          </c:val>
          <c:extLst>
            <c:ext xmlns:c16="http://schemas.microsoft.com/office/drawing/2014/chart" uri="{C3380CC4-5D6E-409C-BE32-E72D297353CC}">
              <c16:uniqueId val="{00000000-2003-461B-8C15-FFC3F0DDD188}"/>
            </c:ext>
          </c:extLst>
        </c:ser>
        <c:ser>
          <c:idx val="1"/>
          <c:order val="1"/>
          <c:tx>
            <c:strRef>
              <c:f>'Descriptive Statistics  EEQUAL'!$C$2</c:f>
              <c:strCache>
                <c:ptCount val="1"/>
                <c:pt idx="0">
                  <c:v>MAX</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Statistics  EEQUAL'!$A$8:$A$17</c:f>
              <c:strCache>
                <c:ptCount val="10"/>
                <c:pt idx="0">
                  <c:v>Condensate Ph</c:v>
                </c:pt>
                <c:pt idx="1">
                  <c:v>Condensate Cond</c:v>
                </c:pt>
                <c:pt idx="2">
                  <c:v>Condensate Do</c:v>
                </c:pt>
                <c:pt idx="3">
                  <c:v>Boiler 
Ph</c:v>
                </c:pt>
                <c:pt idx="4">
                  <c:v>Boiler 
Cond</c:v>
                </c:pt>
                <c:pt idx="5">
                  <c:v>Boiler 
Po4</c:v>
                </c:pt>
                <c:pt idx="6">
                  <c:v>Boiler 
Fe</c:v>
                </c:pt>
                <c:pt idx="7">
                  <c:v>Main Steam  Ph</c:v>
                </c:pt>
                <c:pt idx="8">
                  <c:v>Main Steam Cond</c:v>
                </c:pt>
                <c:pt idx="9">
                  <c:v>Main Steam Fe</c:v>
                </c:pt>
              </c:strCache>
            </c:strRef>
          </c:cat>
          <c:val>
            <c:numRef>
              <c:f>'Descriptive Statistics  EEQUAL'!$C$8:$C$17</c:f>
              <c:numCache>
                <c:formatCode>0</c:formatCode>
                <c:ptCount val="10"/>
                <c:pt idx="0">
                  <c:v>9.6999999999999993</c:v>
                </c:pt>
                <c:pt idx="1">
                  <c:v>4.7</c:v>
                </c:pt>
                <c:pt idx="2">
                  <c:v>9.8000000000000007</c:v>
                </c:pt>
                <c:pt idx="3">
                  <c:v>9.9</c:v>
                </c:pt>
                <c:pt idx="4">
                  <c:v>16.8</c:v>
                </c:pt>
                <c:pt idx="5">
                  <c:v>6</c:v>
                </c:pt>
                <c:pt idx="6">
                  <c:v>7.9</c:v>
                </c:pt>
                <c:pt idx="7">
                  <c:v>9.6999999999999993</c:v>
                </c:pt>
                <c:pt idx="8">
                  <c:v>9.5</c:v>
                </c:pt>
                <c:pt idx="9">
                  <c:v>7.8</c:v>
                </c:pt>
              </c:numCache>
            </c:numRef>
          </c:val>
          <c:extLst>
            <c:ext xmlns:c16="http://schemas.microsoft.com/office/drawing/2014/chart" uri="{C3380CC4-5D6E-409C-BE32-E72D297353CC}">
              <c16:uniqueId val="{00000001-2003-461B-8C15-FFC3F0DDD188}"/>
            </c:ext>
          </c:extLst>
        </c:ser>
        <c:dLbls>
          <c:showLegendKey val="0"/>
          <c:showVal val="0"/>
          <c:showCatName val="0"/>
          <c:showSerName val="0"/>
          <c:showPercent val="0"/>
          <c:showBubbleSize val="0"/>
        </c:dLbls>
        <c:gapWidth val="100"/>
        <c:overlap val="-24"/>
        <c:axId val="1336759760"/>
        <c:axId val="1336763920"/>
      </c:barChart>
      <c:catAx>
        <c:axId val="1336759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763920"/>
        <c:crosses val="autoZero"/>
        <c:auto val="1"/>
        <c:lblAlgn val="ctr"/>
        <c:lblOffset val="100"/>
        <c:noMultiLvlLbl val="0"/>
      </c:catAx>
      <c:valAx>
        <c:axId val="13367639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75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0800">
      <a:solidFill>
        <a:srgbClr val="00FF00"/>
      </a:solid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final.xlsx]SLICER!PivotTable10</c:name>
    <c:fmtId val="7"/>
  </c:pivotSource>
  <c:chart>
    <c:title>
      <c:tx>
        <c:rich>
          <a:bodyPr rot="0" spcFirstLastPara="1" vertOverflow="ellipsis" vert="horz" wrap="square" anchor="ctr" anchorCtr="1"/>
          <a:lstStyle/>
          <a:p>
            <a:pPr algn="ctr">
              <a:defRPr sz="3600" b="1" i="0" u="none" strike="noStrike" kern="1200" cap="all" spc="50" baseline="0">
                <a:solidFill>
                  <a:schemeClr val="tx1">
                    <a:lumMod val="65000"/>
                    <a:lumOff val="35000"/>
                  </a:schemeClr>
                </a:solidFill>
                <a:latin typeface="Arial Black" panose="020B0A04020102020204" pitchFamily="34" charset="0"/>
                <a:ea typeface="+mn-ea"/>
                <a:cs typeface="+mn-cs"/>
              </a:defRPr>
            </a:pPr>
            <a:r>
              <a:rPr lang="en-US" sz="3600">
                <a:solidFill>
                  <a:srgbClr val="FFFF00"/>
                </a:solidFill>
                <a:latin typeface="Arial Black" panose="020B0A04020102020204" pitchFamily="34" charset="0"/>
              </a:rPr>
              <a:t>average</a:t>
            </a:r>
          </a:p>
        </c:rich>
      </c:tx>
      <c:layout>
        <c:manualLayout>
          <c:xMode val="edge"/>
          <c:yMode val="edge"/>
          <c:x val="0.15352587203668663"/>
          <c:y val="4.1968516177499839E-2"/>
        </c:manualLayout>
      </c:layout>
      <c:overlay val="1"/>
      <c:spPr>
        <a:noFill/>
        <a:ln>
          <a:noFill/>
        </a:ln>
        <a:effectLst/>
      </c:spPr>
      <c:txPr>
        <a:bodyPr rot="0" spcFirstLastPara="1" vertOverflow="ellipsis" vert="horz" wrap="square" anchor="ctr" anchorCtr="1"/>
        <a:lstStyle/>
        <a:p>
          <a:pPr algn="ctr">
            <a:defRPr sz="3600" b="1" i="0" u="none" strike="noStrike" kern="1200" cap="all" spc="5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00"/>
          </a:solidFill>
          <a:ln>
            <a:noFill/>
          </a:ln>
          <a:effectLst/>
          <a:scene3d>
            <a:camera prst="orthographicFront"/>
            <a:lightRig rig="threePt" dir="t"/>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FF00"/>
          </a:solidFill>
          <a:ln>
            <a:solidFill>
              <a:schemeClr val="bg1"/>
            </a:solidFill>
          </a:ln>
          <a:effectLst/>
          <a:scene3d>
            <a:camera prst="orthographicFront"/>
            <a:lightRig rig="threePt" dir="t"/>
          </a:scene3d>
          <a:sp3d prstMaterial="powder">
            <a:bevelT w="127000" h="133350"/>
            <a:bevelB w="127000" h="127000"/>
            <a:contourClr>
              <a:schemeClr val="bg1"/>
            </a:contourClr>
          </a:sp3d>
        </c:spPr>
        <c:dLbl>
          <c:idx val="0"/>
          <c:layout>
            <c:manualLayout>
              <c:x val="4.7505938242280284E-2"/>
              <c:y val="-2.747404722383873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a:scene3d>
            <a:camera prst="orthographicFront"/>
            <a:lightRig rig="threePt" dir="t"/>
          </a:scene3d>
          <a:sp3d prstMaterial="powder"/>
        </c:spPr>
        <c:dLbl>
          <c:idx val="0"/>
          <c:layout>
            <c:manualLayout>
              <c:x val="-0.15424164524421594"/>
              <c:y val="3.13989111129585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00"/>
          </a:solidFill>
          <a:ln>
            <a:noFill/>
          </a:ln>
          <a:effectLst/>
          <a:scene3d>
            <a:camera prst="orthographicFront"/>
            <a:lightRig rig="threePt" dir="t"/>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00"/>
          </a:solidFill>
          <a:ln>
            <a:noFill/>
          </a:ln>
          <a:effectLst/>
          <a:scene3d>
            <a:camera prst="orthographicFront"/>
            <a:lightRig rig="threePt" dir="t"/>
          </a:scene3d>
          <a:sp3d prstMaterial="powder"/>
        </c:spPr>
        <c:dLbl>
          <c:idx val="0"/>
          <c:layout>
            <c:manualLayout>
              <c:x val="-0.15424164524421594"/>
              <c:y val="3.13989111129585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00"/>
          </a:solidFill>
          <a:ln>
            <a:noFill/>
          </a:ln>
          <a:effectLst/>
          <a:scene3d>
            <a:camera prst="orthographicFront"/>
            <a:lightRig rig="threePt" dir="t"/>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F00"/>
          </a:solidFill>
          <a:ln>
            <a:noFill/>
          </a:ln>
          <a:effectLst/>
          <a:scene3d>
            <a:camera prst="orthographicFront"/>
            <a:lightRig rig="threePt" dir="t"/>
          </a:scene3d>
          <a:sp3d prstMaterial="powder"/>
        </c:spPr>
        <c:dLbl>
          <c:idx val="0"/>
          <c:layout>
            <c:manualLayout>
              <c:x val="-0.23720470297730389"/>
              <c:y val="0.23599538291245253"/>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22735203302840992"/>
              <c:y val="0.23255267028126478"/>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38108367937531712"/>
              <c:y val="0.25614157875148347"/>
            </c:manualLayout>
          </c:layout>
          <c:spPr>
            <a:noFill/>
            <a:ln>
              <a:noFill/>
            </a:ln>
            <a:effectLst/>
          </c:spPr>
          <c:txPr>
            <a:bodyPr rot="0" spcFirstLastPara="1" vertOverflow="ellipsis" vert="horz" wrap="square" lIns="38100" tIns="19050" rIns="38100" bIns="19050" anchor="ctr" anchorCtr="1">
              <a:no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341461237128222"/>
                  <c:h val="7.7480655309189392E-2"/>
                </c:manualLayout>
              </c15:layout>
            </c:ext>
          </c:extLst>
        </c:dLbl>
      </c:pivotFmt>
      <c:pivotFmt>
        <c:idx val="11"/>
        <c:spPr>
          <a:solidFill>
            <a:srgbClr val="00FF00"/>
          </a:solidFill>
          <a:ln>
            <a:noFill/>
          </a:ln>
          <a:effectLst/>
          <a:scene3d>
            <a:camera prst="orthographicFront"/>
            <a:lightRig rig="threePt" dir="t"/>
          </a:scene3d>
          <a:sp3d prstMaterial="powder"/>
        </c:spPr>
        <c:dLbl>
          <c:idx val="0"/>
          <c:layout>
            <c:manualLayout>
              <c:x val="-0.25007811802517632"/>
              <c:y val="0.34049499166068509"/>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51596220720712"/>
                  <c:h val="0.14187107156169004"/>
                </c:manualLayout>
              </c15:layout>
            </c:ext>
          </c:extLst>
        </c:dLbl>
      </c:pivotFmt>
      <c:pivotFmt>
        <c:idx val="12"/>
        <c:dLbl>
          <c:idx val="0"/>
          <c:layout>
            <c:manualLayout>
              <c:x val="-0.2645805796956282"/>
              <c:y val="0.31504070106148124"/>
            </c:manualLayout>
          </c:layout>
          <c:spPr>
            <a:noFill/>
            <a:ln>
              <a:noFill/>
            </a:ln>
            <a:effectLst/>
          </c:spPr>
          <c:txPr>
            <a:bodyPr rot="0" spcFirstLastPara="1" vertOverflow="ellipsis" vert="horz" wrap="square" lIns="38100" tIns="19050" rIns="38100" bIns="19050" anchor="ctr" anchorCtr="1">
              <a:no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274438987554425"/>
                  <c:h val="0.1355058158176084"/>
                </c:manualLayout>
              </c15:layout>
            </c:ext>
          </c:extLst>
        </c:dLbl>
      </c:pivotFmt>
      <c:pivotFmt>
        <c:idx val="13"/>
        <c:dLbl>
          <c:idx val="0"/>
          <c:layout>
            <c:manualLayout>
              <c:x val="-0.23140328280793748"/>
              <c:y val="0.23454383403599846"/>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24683295372146652"/>
              <c:y val="0.35630189352637015"/>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98927398223031"/>
                  <c:h val="0.19581709062515842"/>
                </c:manualLayout>
              </c15:layout>
            </c:ext>
          </c:extLst>
        </c:dLbl>
      </c:pivotFmt>
      <c:pivotFmt>
        <c:idx val="15"/>
        <c:dLbl>
          <c:idx val="0"/>
          <c:layout>
            <c:manualLayout>
              <c:x val="-0.23851855561676769"/>
              <c:y val="0.28503617237218631"/>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23160497429454252"/>
              <c:y val="0.23432421532437409"/>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21432102098897965"/>
              <c:y val="0.29203092506843636"/>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24543213693899285"/>
              <c:y val="0.23607290349843651"/>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24888892760010542"/>
              <c:y val="0.22208339810593658"/>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3506176495565509"/>
              <c:y val="0.24131896802062405"/>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24197534627788028"/>
              <c:y val="0.23607290349843657"/>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25234571826121799"/>
              <c:y val="0.20984258088749924"/>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8.9182204986053074E-2"/>
          <c:y val="0.18060313769735223"/>
          <c:w val="0.90924545358196018"/>
          <c:h val="0.61345413142727245"/>
        </c:manualLayout>
      </c:layout>
      <c:bar3DChart>
        <c:barDir val="col"/>
        <c:grouping val="standard"/>
        <c:varyColors val="0"/>
        <c:ser>
          <c:idx val="0"/>
          <c:order val="0"/>
          <c:tx>
            <c:strRef>
              <c:f>SLICER!$B$3</c:f>
              <c:strCache>
                <c:ptCount val="1"/>
                <c:pt idx="0">
                  <c:v>Total</c:v>
                </c:pt>
              </c:strCache>
            </c:strRef>
          </c:tx>
          <c:spPr>
            <a:solidFill>
              <a:srgbClr val="00FF00"/>
            </a:solidFill>
            <a:ln>
              <a:noFill/>
            </a:ln>
            <a:effectLst/>
            <a:scene3d>
              <a:camera prst="orthographicFront"/>
              <a:lightRig rig="threePt" dir="t"/>
            </a:scene3d>
            <a:sp3d prstMaterial="powder"/>
          </c:spPr>
          <c:invertIfNegative val="0"/>
          <c:dLbls>
            <c:dLbl>
              <c:idx val="0"/>
              <c:layout>
                <c:manualLayout>
                  <c:x val="-0.25007811802517632"/>
                  <c:y val="0.34049499166068509"/>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51596220720712"/>
                      <c:h val="0.14187107156169004"/>
                    </c:manualLayout>
                  </c15:layout>
                </c:ext>
                <c:ext xmlns:c16="http://schemas.microsoft.com/office/drawing/2014/chart" uri="{C3380CC4-5D6E-409C-BE32-E72D297353CC}">
                  <c16:uniqueId val="{00000001-5F61-4544-A1E2-F98B53F31671}"/>
                </c:ext>
              </c:extLst>
            </c:dLbl>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SLICER!$A$4:$A$5</c:f>
              <c:strCache>
                <c:ptCount val="1"/>
                <c:pt idx="0">
                  <c:v>Ammonia_Dosage_Kg</c:v>
                </c:pt>
              </c:strCache>
            </c:strRef>
          </c:cat>
          <c:val>
            <c:numRef>
              <c:f>SLICER!$B$4:$B$5</c:f>
              <c:numCache>
                <c:formatCode>0.0</c:formatCode>
                <c:ptCount val="1"/>
                <c:pt idx="0">
                  <c:v>11.799999999999995</c:v>
                </c:pt>
              </c:numCache>
            </c:numRef>
          </c:val>
          <c:shape val="cylinder"/>
          <c:extLst>
            <c:ext xmlns:c16="http://schemas.microsoft.com/office/drawing/2014/chart" uri="{C3380CC4-5D6E-409C-BE32-E72D297353CC}">
              <c16:uniqueId val="{00000001-DAE4-43F0-B0B1-3F1AA98BDB1B}"/>
            </c:ext>
          </c:extLst>
        </c:ser>
        <c:dLbls>
          <c:showLegendKey val="0"/>
          <c:showVal val="1"/>
          <c:showCatName val="0"/>
          <c:showSerName val="0"/>
          <c:showPercent val="0"/>
          <c:showBubbleSize val="0"/>
        </c:dLbls>
        <c:gapWidth val="336"/>
        <c:gapDepth val="120"/>
        <c:shape val="box"/>
        <c:axId val="80710752"/>
        <c:axId val="80722816"/>
        <c:axId val="1097642768"/>
      </c:bar3DChart>
      <c:catAx>
        <c:axId val="8071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2000" b="1" i="0" u="none" strike="noStrike" kern="1200" baseline="0">
                <a:solidFill>
                  <a:srgbClr val="FFFF00"/>
                </a:solidFill>
                <a:latin typeface="Arial Black" panose="020B0A04020102020204" pitchFamily="34" charset="0"/>
                <a:ea typeface="+mn-ea"/>
                <a:cs typeface="+mn-cs"/>
              </a:defRPr>
            </a:pPr>
            <a:endParaRPr lang="en-US"/>
          </a:p>
        </c:txPr>
        <c:crossAx val="80722816"/>
        <c:crosses val="autoZero"/>
        <c:auto val="0"/>
        <c:lblAlgn val="l"/>
        <c:lblOffset val="100"/>
        <c:noMultiLvlLbl val="0"/>
      </c:catAx>
      <c:valAx>
        <c:axId val="807228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0752"/>
        <c:crosses val="autoZero"/>
        <c:crossBetween val="between"/>
      </c:valAx>
      <c:serAx>
        <c:axId val="1097642768"/>
        <c:scaling>
          <c:orientation val="minMax"/>
        </c:scaling>
        <c:delete val="1"/>
        <c:axPos val="b"/>
        <c:majorTickMark val="out"/>
        <c:minorTickMark val="none"/>
        <c:tickLblPos val="nextTo"/>
        <c:crossAx val="80722816"/>
        <c:crosses val="autoZero"/>
      </c:ser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 proT.xlsx]main steam!PivotTable6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600">
                <a:solidFill>
                  <a:schemeClr val="bg1"/>
                </a:solidFill>
              </a:rPr>
              <a:t>Chart for main steam</a:t>
            </a:r>
          </a:p>
        </c:rich>
      </c:tx>
      <c:layout>
        <c:manualLayout>
          <c:xMode val="edge"/>
          <c:yMode val="edge"/>
          <c:x val="0.56350258920189222"/>
          <c:y val="3.98487464730052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3.3336700412596711E-2"/>
                  <c:h val="7.0504106024077348E-2"/>
                </c:manualLayout>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'main steam'!$B$4</c:f>
              <c:strCache>
                <c:ptCount val="1"/>
                <c:pt idx="0">
                  <c:v>Average of Main Steam  Ph</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'main steam'!$A$5:$A$17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steam'!$B$5:$B$17</c:f>
              <c:numCache>
                <c:formatCode>0.0</c:formatCode>
                <c:ptCount val="12"/>
                <c:pt idx="0">
                  <c:v>9.283333333333335</c:v>
                </c:pt>
                <c:pt idx="1">
                  <c:v>9.3000000000000007</c:v>
                </c:pt>
                <c:pt idx="2">
                  <c:v>9.35</c:v>
                </c:pt>
                <c:pt idx="3">
                  <c:v>9.2666666666666657</c:v>
                </c:pt>
                <c:pt idx="4">
                  <c:v>9.25</c:v>
                </c:pt>
                <c:pt idx="5">
                  <c:v>9.3833333333333329</c:v>
                </c:pt>
                <c:pt idx="6">
                  <c:v>9.3000000000000007</c:v>
                </c:pt>
                <c:pt idx="7">
                  <c:v>9.2833333333333332</c:v>
                </c:pt>
                <c:pt idx="8">
                  <c:v>9.2333333333333343</c:v>
                </c:pt>
                <c:pt idx="9">
                  <c:v>9.3166666666666682</c:v>
                </c:pt>
                <c:pt idx="10">
                  <c:v>9.3166666666666664</c:v>
                </c:pt>
                <c:pt idx="11">
                  <c:v>9.3333333333333339</c:v>
                </c:pt>
              </c:numCache>
            </c:numRef>
          </c:val>
          <c:smooth val="0"/>
          <c:extLst>
            <c:ext xmlns:c16="http://schemas.microsoft.com/office/drawing/2014/chart" uri="{C3380CC4-5D6E-409C-BE32-E72D297353CC}">
              <c16:uniqueId val="{00000000-57F9-4B37-A798-8CEE5A2B66AE}"/>
            </c:ext>
          </c:extLst>
        </c:ser>
        <c:ser>
          <c:idx val="1"/>
          <c:order val="1"/>
          <c:tx>
            <c:strRef>
              <c:f>'main steam'!$C$4</c:f>
              <c:strCache>
                <c:ptCount val="1"/>
                <c:pt idx="0">
                  <c:v>Average of Main Steam Fe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'main steam'!$A$5:$A$17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steam'!$C$5:$C$17</c:f>
              <c:numCache>
                <c:formatCode>0.0</c:formatCode>
                <c:ptCount val="12"/>
                <c:pt idx="0">
                  <c:v>1.5833333333333333</c:v>
                </c:pt>
                <c:pt idx="1">
                  <c:v>1.2</c:v>
                </c:pt>
                <c:pt idx="2">
                  <c:v>3.0833333333333335</c:v>
                </c:pt>
                <c:pt idx="3">
                  <c:v>1.45</c:v>
                </c:pt>
                <c:pt idx="4">
                  <c:v>2.7500000000000004</c:v>
                </c:pt>
                <c:pt idx="5">
                  <c:v>1.8500000000000003</c:v>
                </c:pt>
                <c:pt idx="6">
                  <c:v>2.5499999999999998</c:v>
                </c:pt>
                <c:pt idx="7">
                  <c:v>2.8000000000000003</c:v>
                </c:pt>
                <c:pt idx="8">
                  <c:v>1.8333333333333333</c:v>
                </c:pt>
                <c:pt idx="9">
                  <c:v>2.6333333333333333</c:v>
                </c:pt>
                <c:pt idx="10">
                  <c:v>1.6666666666666667</c:v>
                </c:pt>
                <c:pt idx="11">
                  <c:v>1.4500000000000002</c:v>
                </c:pt>
              </c:numCache>
            </c:numRef>
          </c:val>
          <c:smooth val="0"/>
          <c:extLst>
            <c:ext xmlns:c16="http://schemas.microsoft.com/office/drawing/2014/chart" uri="{C3380CC4-5D6E-409C-BE32-E72D297353CC}">
              <c16:uniqueId val="{00000001-57F9-4B37-A798-8CEE5A2B66AE}"/>
            </c:ext>
          </c:extLst>
        </c:ser>
        <c:ser>
          <c:idx val="2"/>
          <c:order val="2"/>
          <c:tx>
            <c:strRef>
              <c:f>'main steam'!$D$4</c:f>
              <c:strCache>
                <c:ptCount val="1"/>
                <c:pt idx="0">
                  <c:v>Average of Main Steam Cond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Pt>
            <c:idx val="7"/>
            <c:marker>
              <c:symbol val="none"/>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18BA-40C3-B7D6-53E3E0CF0E40}"/>
              </c:ext>
            </c:extLst>
          </c:dPt>
          <c:cat>
            <c:strRef>
              <c:f>'main steam'!$A$5:$A$17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steam'!$D$5:$D$17</c:f>
              <c:numCache>
                <c:formatCode>0.0</c:formatCode>
                <c:ptCount val="12"/>
                <c:pt idx="0">
                  <c:v>6.3833333333333329</c:v>
                </c:pt>
                <c:pt idx="1">
                  <c:v>6.22</c:v>
                </c:pt>
                <c:pt idx="2">
                  <c:v>6.2333333333333334</c:v>
                </c:pt>
                <c:pt idx="3">
                  <c:v>6.5166666666666666</c:v>
                </c:pt>
                <c:pt idx="4">
                  <c:v>6.75</c:v>
                </c:pt>
                <c:pt idx="5">
                  <c:v>6.4000000000000012</c:v>
                </c:pt>
                <c:pt idx="6">
                  <c:v>6.4666666666666659</c:v>
                </c:pt>
                <c:pt idx="7">
                  <c:v>6.6999999999999993</c:v>
                </c:pt>
                <c:pt idx="8">
                  <c:v>6.8833333333333329</c:v>
                </c:pt>
                <c:pt idx="9">
                  <c:v>6.45</c:v>
                </c:pt>
                <c:pt idx="10">
                  <c:v>6.7666666666666666</c:v>
                </c:pt>
                <c:pt idx="11">
                  <c:v>6.5</c:v>
                </c:pt>
              </c:numCache>
            </c:numRef>
          </c:val>
          <c:smooth val="0"/>
          <c:extLst>
            <c:ext xmlns:c16="http://schemas.microsoft.com/office/drawing/2014/chart" uri="{C3380CC4-5D6E-409C-BE32-E72D297353CC}">
              <c16:uniqueId val="{00000006-18BA-40C3-B7D6-53E3E0CF0E40}"/>
            </c:ext>
          </c:extLst>
        </c:ser>
        <c:dLbls>
          <c:showLegendKey val="0"/>
          <c:showVal val="0"/>
          <c:showCatName val="0"/>
          <c:showSerName val="0"/>
          <c:showPercent val="0"/>
          <c:showBubbleSize val="0"/>
        </c:dLbls>
        <c:smooth val="0"/>
        <c:axId val="1974236911"/>
        <c:axId val="1974238159"/>
      </c:lineChart>
      <c:catAx>
        <c:axId val="197423691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238159"/>
        <c:crosses val="autoZero"/>
        <c:auto val="1"/>
        <c:lblAlgn val="ctr"/>
        <c:lblOffset val="100"/>
        <c:noMultiLvlLbl val="0"/>
      </c:catAx>
      <c:valAx>
        <c:axId val="197423815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2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 proT.xlsx]Chart for condenser with HYDRAZ!PivotTable5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Chart for condenser with </a:t>
            </a:r>
            <a:r>
              <a:rPr lang="en-US" sz="2400"/>
              <a:t>HYDRAZINE #</a:t>
            </a:r>
            <a:r>
              <a:rPr lang="en-US" sz="2400" baseline="0"/>
              <a:t> DEHA</a:t>
            </a:r>
            <a:r>
              <a:rPr lang="en-US" sz="2400"/>
              <a:t> FOR DO </a:t>
            </a:r>
          </a:p>
          <a:p>
            <a:pPr>
              <a:defRPr/>
            </a:pPr>
            <a:endParaRPr lang="en-US"/>
          </a:p>
        </c:rich>
      </c:tx>
      <c:layout>
        <c:manualLayout>
          <c:xMode val="edge"/>
          <c:yMode val="edge"/>
          <c:x val="0.15999999127381853"/>
          <c:y val="0.118219597550306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84901327635834E-2"/>
          <c:y val="0.16836129858767654"/>
          <c:w val="0.80718719601391664"/>
          <c:h val="0.73842879015123108"/>
        </c:manualLayout>
      </c:layout>
      <c:lineChart>
        <c:grouping val="stacked"/>
        <c:varyColors val="0"/>
        <c:ser>
          <c:idx val="0"/>
          <c:order val="0"/>
          <c:tx>
            <c:strRef>
              <c:f>'Chart for condenser with HYDRAZ'!$B$5</c:f>
              <c:strCache>
                <c:ptCount val="1"/>
                <c:pt idx="0">
                  <c:v>Average of Condensate Do</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FFC000"/>
                </a:solidFill>
                <a:round/>
              </a:ln>
              <a:effectLst>
                <a:outerShdw blurRad="57150" dist="19050" dir="5400000" algn="ctr" rotWithShape="0">
                  <a:srgbClr val="000000">
                    <a:alpha val="63000"/>
                  </a:srgbClr>
                </a:outerShdw>
              </a:effectLst>
            </c:spPr>
          </c:marker>
          <c:cat>
            <c:strRef>
              <c:f>'Chart for condenser with HYDRAZ'!$A$6:$A$18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HYDRAZ'!$B$6:$B$18</c:f>
              <c:numCache>
                <c:formatCode>General</c:formatCode>
                <c:ptCount val="12"/>
                <c:pt idx="0">
                  <c:v>6.3166666666666664</c:v>
                </c:pt>
                <c:pt idx="1">
                  <c:v>5.38</c:v>
                </c:pt>
                <c:pt idx="2">
                  <c:v>5.05</c:v>
                </c:pt>
                <c:pt idx="3">
                  <c:v>5.75</c:v>
                </c:pt>
                <c:pt idx="4">
                  <c:v>6.1833333333333327</c:v>
                </c:pt>
                <c:pt idx="5">
                  <c:v>5.5333333333333341</c:v>
                </c:pt>
                <c:pt idx="6">
                  <c:v>5.7833333333333323</c:v>
                </c:pt>
                <c:pt idx="7">
                  <c:v>5.9499999999999993</c:v>
                </c:pt>
                <c:pt idx="8">
                  <c:v>5.833333333333333</c:v>
                </c:pt>
                <c:pt idx="9">
                  <c:v>5.7</c:v>
                </c:pt>
                <c:pt idx="10">
                  <c:v>6.1000000000000005</c:v>
                </c:pt>
                <c:pt idx="11">
                  <c:v>5.6333333333333329</c:v>
                </c:pt>
              </c:numCache>
            </c:numRef>
          </c:val>
          <c:smooth val="0"/>
          <c:extLst>
            <c:ext xmlns:c16="http://schemas.microsoft.com/office/drawing/2014/chart" uri="{C3380CC4-5D6E-409C-BE32-E72D297353CC}">
              <c16:uniqueId val="{00000000-7267-4085-9F5A-567882DCA01C}"/>
            </c:ext>
          </c:extLst>
        </c:ser>
        <c:ser>
          <c:idx val="1"/>
          <c:order val="1"/>
          <c:tx>
            <c:strRef>
              <c:f>'Chart for condenser with HYDRAZ'!$C$5</c:f>
              <c:strCache>
                <c:ptCount val="1"/>
                <c:pt idx="0">
                  <c:v>Sum of Hydrazine Kg_Day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 for condenser with HYDRAZ'!$A$6:$A$18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HYDRAZ'!$C$6:$C$18</c:f>
              <c:numCache>
                <c:formatCode>General</c:formatCode>
                <c:ptCount val="12"/>
                <c:pt idx="0">
                  <c:v>81.8</c:v>
                </c:pt>
                <c:pt idx="1">
                  <c:v>25.599999999999998</c:v>
                </c:pt>
                <c:pt idx="2">
                  <c:v>47.3</c:v>
                </c:pt>
                <c:pt idx="3">
                  <c:v>56.3</c:v>
                </c:pt>
                <c:pt idx="4">
                  <c:v>59</c:v>
                </c:pt>
                <c:pt idx="5">
                  <c:v>53.4</c:v>
                </c:pt>
                <c:pt idx="6">
                  <c:v>51.3</c:v>
                </c:pt>
                <c:pt idx="7">
                  <c:v>55.900000000000006</c:v>
                </c:pt>
                <c:pt idx="8">
                  <c:v>50.7</c:v>
                </c:pt>
                <c:pt idx="9">
                  <c:v>47.8</c:v>
                </c:pt>
                <c:pt idx="10">
                  <c:v>63.8</c:v>
                </c:pt>
                <c:pt idx="11">
                  <c:v>55.400000000000006</c:v>
                </c:pt>
              </c:numCache>
            </c:numRef>
          </c:val>
          <c:smooth val="0"/>
          <c:extLst>
            <c:ext xmlns:c16="http://schemas.microsoft.com/office/drawing/2014/chart" uri="{C3380CC4-5D6E-409C-BE32-E72D297353CC}">
              <c16:uniqueId val="{00000001-7267-4085-9F5A-567882DCA01C}"/>
            </c:ext>
          </c:extLst>
        </c:ser>
        <c:ser>
          <c:idx val="2"/>
          <c:order val="2"/>
          <c:tx>
            <c:strRef>
              <c:f>'Chart for condenser with HYDRAZ'!$D$5</c:f>
              <c:strCache>
                <c:ptCount val="1"/>
                <c:pt idx="0">
                  <c:v>Sum of DEHA Kg_Day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'Chart for condenser with HYDRAZ'!$A$6:$A$18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HYDRAZ'!$D$6:$D$18</c:f>
              <c:numCache>
                <c:formatCode>General</c:formatCode>
                <c:ptCount val="12"/>
                <c:pt idx="0">
                  <c:v>18</c:v>
                </c:pt>
                <c:pt idx="1">
                  <c:v>30</c:v>
                </c:pt>
                <c:pt idx="2">
                  <c:v>63</c:v>
                </c:pt>
                <c:pt idx="3">
                  <c:v>62</c:v>
                </c:pt>
                <c:pt idx="4">
                  <c:v>60</c:v>
                </c:pt>
                <c:pt idx="5">
                  <c:v>55</c:v>
                </c:pt>
                <c:pt idx="6">
                  <c:v>61</c:v>
                </c:pt>
                <c:pt idx="7">
                  <c:v>64</c:v>
                </c:pt>
                <c:pt idx="8">
                  <c:v>66</c:v>
                </c:pt>
                <c:pt idx="9">
                  <c:v>74</c:v>
                </c:pt>
                <c:pt idx="10">
                  <c:v>76</c:v>
                </c:pt>
                <c:pt idx="11">
                  <c:v>66</c:v>
                </c:pt>
              </c:numCache>
            </c:numRef>
          </c:val>
          <c:smooth val="0"/>
          <c:extLst>
            <c:ext xmlns:c16="http://schemas.microsoft.com/office/drawing/2014/chart" uri="{C3380CC4-5D6E-409C-BE32-E72D297353CC}">
              <c16:uniqueId val="{00000003-4D8B-4A1F-9ABD-3899EC1C032A}"/>
            </c:ext>
          </c:extLst>
        </c:ser>
        <c:dLbls>
          <c:showLegendKey val="0"/>
          <c:showVal val="0"/>
          <c:showCatName val="0"/>
          <c:showSerName val="0"/>
          <c:showPercent val="0"/>
          <c:showBubbleSize val="0"/>
        </c:dLbls>
        <c:marker val="1"/>
        <c:smooth val="0"/>
        <c:axId val="1971737695"/>
        <c:axId val="80421039"/>
      </c:lineChart>
      <c:catAx>
        <c:axId val="1971737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421039"/>
        <c:crosses val="autoZero"/>
        <c:auto val="1"/>
        <c:lblAlgn val="ctr"/>
        <c:lblOffset val="100"/>
        <c:noMultiLvlLbl val="0"/>
      </c:catAx>
      <c:valAx>
        <c:axId val="80421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17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 proT.xlsx]boiler!PivotTable4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Chart for biler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boiler!$B$5</c:f>
              <c:strCache>
                <c:ptCount val="1"/>
                <c:pt idx="0">
                  <c:v>CONDUCTIVITY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boiler!$B$6:$B$18</c:f>
              <c:numCache>
                <c:formatCode>0.00</c:formatCode>
                <c:ptCount val="12"/>
                <c:pt idx="0">
                  <c:v>13.25</c:v>
                </c:pt>
                <c:pt idx="1">
                  <c:v>12.919999999999998</c:v>
                </c:pt>
                <c:pt idx="2">
                  <c:v>12.549999999999999</c:v>
                </c:pt>
                <c:pt idx="3">
                  <c:v>13.516666666666666</c:v>
                </c:pt>
                <c:pt idx="4">
                  <c:v>13.383333333333333</c:v>
                </c:pt>
                <c:pt idx="5">
                  <c:v>12.166666666666666</c:v>
                </c:pt>
                <c:pt idx="6">
                  <c:v>12.416666666666666</c:v>
                </c:pt>
                <c:pt idx="7">
                  <c:v>13.433333333333332</c:v>
                </c:pt>
                <c:pt idx="8">
                  <c:v>14.466666666666667</c:v>
                </c:pt>
                <c:pt idx="9">
                  <c:v>13.283333333333333</c:v>
                </c:pt>
                <c:pt idx="10">
                  <c:v>13.616666666666667</c:v>
                </c:pt>
                <c:pt idx="11">
                  <c:v>13.299999999999999</c:v>
                </c:pt>
              </c:numCache>
            </c:numRef>
          </c:val>
          <c:smooth val="0"/>
          <c:extLst>
            <c:ext xmlns:c16="http://schemas.microsoft.com/office/drawing/2014/chart" uri="{C3380CC4-5D6E-409C-BE32-E72D297353CC}">
              <c16:uniqueId val="{00000000-CD7F-4701-B58E-0FBE7A1EAFD0}"/>
            </c:ext>
          </c:extLst>
        </c:ser>
        <c:ser>
          <c:idx val="1"/>
          <c:order val="1"/>
          <c:tx>
            <c:strRef>
              <c:f>boiler!$C$5</c:f>
              <c:strCache>
                <c:ptCount val="1"/>
                <c:pt idx="0">
                  <c:v>PH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boiler!$C$6:$C$18</c:f>
              <c:numCache>
                <c:formatCode>0.00</c:formatCode>
                <c:ptCount val="12"/>
                <c:pt idx="0">
                  <c:v>9.25</c:v>
                </c:pt>
                <c:pt idx="1">
                  <c:v>9.5</c:v>
                </c:pt>
                <c:pt idx="2">
                  <c:v>9.5499999999999989</c:v>
                </c:pt>
                <c:pt idx="3">
                  <c:v>9.4833333333333325</c:v>
                </c:pt>
                <c:pt idx="4">
                  <c:v>9.4500000000000011</c:v>
                </c:pt>
                <c:pt idx="5">
                  <c:v>9.5499999999999989</c:v>
                </c:pt>
                <c:pt idx="6">
                  <c:v>9.4666666666666668</c:v>
                </c:pt>
                <c:pt idx="7">
                  <c:v>9.4500000000000011</c:v>
                </c:pt>
                <c:pt idx="8">
                  <c:v>9.4</c:v>
                </c:pt>
                <c:pt idx="9">
                  <c:v>9.4833333333333325</c:v>
                </c:pt>
                <c:pt idx="10">
                  <c:v>9.4499999999999993</c:v>
                </c:pt>
                <c:pt idx="11">
                  <c:v>9.5</c:v>
                </c:pt>
              </c:numCache>
            </c:numRef>
          </c:val>
          <c:smooth val="0"/>
          <c:extLst>
            <c:ext xmlns:c16="http://schemas.microsoft.com/office/drawing/2014/chart" uri="{C3380CC4-5D6E-409C-BE32-E72D297353CC}">
              <c16:uniqueId val="{00000001-CD7F-4701-B58E-0FBE7A1EAFD0}"/>
            </c:ext>
          </c:extLst>
        </c:ser>
        <c:ser>
          <c:idx val="2"/>
          <c:order val="2"/>
          <c:tx>
            <c:strRef>
              <c:f>boiler!$D$5</c:f>
              <c:strCache>
                <c:ptCount val="1"/>
                <c:pt idx="0">
                  <c:v>po4</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boiler!$D$6:$D$18</c:f>
              <c:numCache>
                <c:formatCode>0.00</c:formatCode>
                <c:ptCount val="12"/>
                <c:pt idx="0">
                  <c:v>3.9166666666666665</c:v>
                </c:pt>
                <c:pt idx="1">
                  <c:v>3.78</c:v>
                </c:pt>
                <c:pt idx="2">
                  <c:v>4</c:v>
                </c:pt>
                <c:pt idx="3">
                  <c:v>3.9333333333333336</c:v>
                </c:pt>
                <c:pt idx="4">
                  <c:v>4.1333333333333329</c:v>
                </c:pt>
                <c:pt idx="5">
                  <c:v>3.9</c:v>
                </c:pt>
                <c:pt idx="6">
                  <c:v>3.9833333333333329</c:v>
                </c:pt>
                <c:pt idx="7">
                  <c:v>4.1833333333333336</c:v>
                </c:pt>
                <c:pt idx="8">
                  <c:v>4.2333333333333334</c:v>
                </c:pt>
                <c:pt idx="9">
                  <c:v>3.9666666666666668</c:v>
                </c:pt>
                <c:pt idx="10">
                  <c:v>4.1499999999999995</c:v>
                </c:pt>
                <c:pt idx="11">
                  <c:v>3.9833333333333329</c:v>
                </c:pt>
              </c:numCache>
            </c:numRef>
          </c:val>
          <c:smooth val="0"/>
          <c:extLst>
            <c:ext xmlns:c16="http://schemas.microsoft.com/office/drawing/2014/chart" uri="{C3380CC4-5D6E-409C-BE32-E72D297353CC}">
              <c16:uniqueId val="{00000002-CD7F-4701-B58E-0FBE7A1EAFD0}"/>
            </c:ext>
          </c:extLst>
        </c:ser>
        <c:ser>
          <c:idx val="3"/>
          <c:order val="3"/>
          <c:tx>
            <c:strRef>
              <c:f>boiler!$E$5</c:f>
              <c:strCache>
                <c:ptCount val="1"/>
                <c:pt idx="0">
                  <c:v>Average of Fe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boiler!$E$6:$E$18</c:f>
              <c:numCache>
                <c:formatCode>0.00</c:formatCode>
                <c:ptCount val="12"/>
                <c:pt idx="0">
                  <c:v>3.1666666666666665</c:v>
                </c:pt>
                <c:pt idx="1">
                  <c:v>2.42</c:v>
                </c:pt>
                <c:pt idx="2">
                  <c:v>3.2666666666666662</c:v>
                </c:pt>
                <c:pt idx="3">
                  <c:v>3.4499999999999997</c:v>
                </c:pt>
                <c:pt idx="4">
                  <c:v>4.0999999999999996</c:v>
                </c:pt>
                <c:pt idx="5">
                  <c:v>2.4666666666666668</c:v>
                </c:pt>
                <c:pt idx="6">
                  <c:v>3.6666666666666665</c:v>
                </c:pt>
                <c:pt idx="7">
                  <c:v>3.65</c:v>
                </c:pt>
                <c:pt idx="8">
                  <c:v>4.75</c:v>
                </c:pt>
                <c:pt idx="9">
                  <c:v>2.65</c:v>
                </c:pt>
                <c:pt idx="10">
                  <c:v>2.9999999999999996</c:v>
                </c:pt>
                <c:pt idx="11">
                  <c:v>2.6666666666666665</c:v>
                </c:pt>
              </c:numCache>
            </c:numRef>
          </c:val>
          <c:smooth val="0"/>
          <c:extLst>
            <c:ext xmlns:c16="http://schemas.microsoft.com/office/drawing/2014/chart" uri="{C3380CC4-5D6E-409C-BE32-E72D297353CC}">
              <c16:uniqueId val="{00000003-CD7F-4701-B58E-0FBE7A1EAFD0}"/>
            </c:ext>
          </c:extLst>
        </c:ser>
        <c:ser>
          <c:idx val="4"/>
          <c:order val="4"/>
          <c:tx>
            <c:strRef>
              <c:f>boiler!$F$5</c:f>
              <c:strCache>
                <c:ptCount val="1"/>
                <c:pt idx="0">
                  <c:v>Sum of Phosphate_Dosage
Kg_Day</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boiler!$A$6:$A$18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boiler!$F$6:$F$18</c:f>
              <c:numCache>
                <c:formatCode>0.00</c:formatCode>
                <c:ptCount val="12"/>
                <c:pt idx="0">
                  <c:v>18.399999999999999</c:v>
                </c:pt>
                <c:pt idx="1">
                  <c:v>16.400000000000002</c:v>
                </c:pt>
                <c:pt idx="2">
                  <c:v>19.5</c:v>
                </c:pt>
                <c:pt idx="3">
                  <c:v>19.8</c:v>
                </c:pt>
                <c:pt idx="4">
                  <c:v>19.899999999999999</c:v>
                </c:pt>
                <c:pt idx="5">
                  <c:v>20.399999999999999</c:v>
                </c:pt>
                <c:pt idx="6">
                  <c:v>20.5</c:v>
                </c:pt>
                <c:pt idx="7">
                  <c:v>21</c:v>
                </c:pt>
                <c:pt idx="8">
                  <c:v>21.1</c:v>
                </c:pt>
                <c:pt idx="9">
                  <c:v>21.599999999999998</c:v>
                </c:pt>
                <c:pt idx="10">
                  <c:v>21.7</c:v>
                </c:pt>
                <c:pt idx="11">
                  <c:v>22.2</c:v>
                </c:pt>
              </c:numCache>
            </c:numRef>
          </c:val>
          <c:smooth val="0"/>
          <c:extLst>
            <c:ext xmlns:c16="http://schemas.microsoft.com/office/drawing/2014/chart" uri="{C3380CC4-5D6E-409C-BE32-E72D297353CC}">
              <c16:uniqueId val="{00000004-CD7F-4701-B58E-0FBE7A1EAFD0}"/>
            </c:ext>
          </c:extLst>
        </c:ser>
        <c:dLbls>
          <c:showLegendKey val="0"/>
          <c:showVal val="0"/>
          <c:showCatName val="0"/>
          <c:showSerName val="0"/>
          <c:showPercent val="0"/>
          <c:showBubbleSize val="0"/>
        </c:dLbls>
        <c:marker val="1"/>
        <c:smooth val="0"/>
        <c:axId val="73893663"/>
        <c:axId val="73895743"/>
      </c:lineChart>
      <c:catAx>
        <c:axId val="738936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95743"/>
        <c:crosses val="autoZero"/>
        <c:auto val="1"/>
        <c:lblAlgn val="ctr"/>
        <c:lblOffset val="100"/>
        <c:noMultiLvlLbl val="0"/>
      </c:catAx>
      <c:valAx>
        <c:axId val="738957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9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00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final.xlsx]Chart for condenser with DEHA F!PivotTable8</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Chart for condenser</a:t>
            </a:r>
            <a:r>
              <a:rPr lang="en-US" sz="1600" b="1" i="0" baseline="0">
                <a:effectLst/>
              </a:rPr>
              <a:t> </a:t>
            </a:r>
            <a:r>
              <a:rPr lang="en-US"/>
              <a:t>with </a:t>
            </a:r>
            <a:r>
              <a:rPr lang="en-US" sz="2400"/>
              <a:t>AMMONIA FOR DO</a:t>
            </a:r>
            <a:endParaRPr lang="en-US"/>
          </a:p>
        </c:rich>
      </c:tx>
      <c:layout>
        <c:manualLayout>
          <c:xMode val="edge"/>
          <c:yMode val="edge"/>
          <c:x val="0.20056634632228393"/>
          <c:y val="7.78271244404690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for condenser with DEHA F'!$B$4</c:f>
              <c:strCache>
                <c:ptCount val="1"/>
                <c:pt idx="0">
                  <c:v>Average of Condensate Ph</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for condenser with DEHA F'!$A$5:$A$17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DEHA F'!$B$5:$B$17</c:f>
              <c:numCache>
                <c:formatCode>0.00</c:formatCode>
                <c:ptCount val="12"/>
                <c:pt idx="0">
                  <c:v>9.0500000000000007</c:v>
                </c:pt>
                <c:pt idx="1">
                  <c:v>9.3000000000000007</c:v>
                </c:pt>
                <c:pt idx="2">
                  <c:v>9.3166666666666682</c:v>
                </c:pt>
                <c:pt idx="3">
                  <c:v>9.25</c:v>
                </c:pt>
                <c:pt idx="4">
                  <c:v>9.25</c:v>
                </c:pt>
                <c:pt idx="5">
                  <c:v>9.4333333333333318</c:v>
                </c:pt>
                <c:pt idx="6">
                  <c:v>9.3000000000000007</c:v>
                </c:pt>
                <c:pt idx="7">
                  <c:v>9.2833333333333332</c:v>
                </c:pt>
                <c:pt idx="8">
                  <c:v>9.2333333333333343</c:v>
                </c:pt>
                <c:pt idx="9">
                  <c:v>9.3166666666666682</c:v>
                </c:pt>
                <c:pt idx="10">
                  <c:v>9.3166666666666664</c:v>
                </c:pt>
                <c:pt idx="11">
                  <c:v>9.3333333333333339</c:v>
                </c:pt>
              </c:numCache>
            </c:numRef>
          </c:val>
          <c:smooth val="0"/>
          <c:extLst>
            <c:ext xmlns:c16="http://schemas.microsoft.com/office/drawing/2014/chart" uri="{C3380CC4-5D6E-409C-BE32-E72D297353CC}">
              <c16:uniqueId val="{00000000-D417-495F-B156-11327E128A63}"/>
            </c:ext>
          </c:extLst>
        </c:ser>
        <c:ser>
          <c:idx val="1"/>
          <c:order val="1"/>
          <c:tx>
            <c:strRef>
              <c:f>'Chart for condenser with DEHA F'!$C$4</c:f>
              <c:strCache>
                <c:ptCount val="1"/>
                <c:pt idx="0">
                  <c:v>Average of Condensate Cond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 for condenser with DEHA F'!$A$5:$A$17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DEHA F'!$C$5:$C$17</c:f>
              <c:numCache>
                <c:formatCode>0.00</c:formatCode>
                <c:ptCount val="12"/>
                <c:pt idx="0">
                  <c:v>3.7999999999999994</c:v>
                </c:pt>
                <c:pt idx="1">
                  <c:v>3.7</c:v>
                </c:pt>
                <c:pt idx="2">
                  <c:v>3.75</c:v>
                </c:pt>
                <c:pt idx="3">
                  <c:v>3.9166666666666665</c:v>
                </c:pt>
                <c:pt idx="4">
                  <c:v>3.9166666666666665</c:v>
                </c:pt>
                <c:pt idx="5">
                  <c:v>3.8333333333333335</c:v>
                </c:pt>
                <c:pt idx="6">
                  <c:v>3.8833333333333329</c:v>
                </c:pt>
                <c:pt idx="7">
                  <c:v>3.9166666666666661</c:v>
                </c:pt>
                <c:pt idx="8">
                  <c:v>4</c:v>
                </c:pt>
                <c:pt idx="9">
                  <c:v>3.8833333333333333</c:v>
                </c:pt>
                <c:pt idx="10">
                  <c:v>3.9333333333333331</c:v>
                </c:pt>
                <c:pt idx="11">
                  <c:v>3.8666666666666667</c:v>
                </c:pt>
              </c:numCache>
            </c:numRef>
          </c:val>
          <c:smooth val="0"/>
          <c:extLst>
            <c:ext xmlns:c16="http://schemas.microsoft.com/office/drawing/2014/chart" uri="{C3380CC4-5D6E-409C-BE32-E72D297353CC}">
              <c16:uniqueId val="{00000001-D417-495F-B156-11327E128A63}"/>
            </c:ext>
          </c:extLst>
        </c:ser>
        <c:ser>
          <c:idx val="2"/>
          <c:order val="2"/>
          <c:tx>
            <c:strRef>
              <c:f>'Chart for condenser with DEHA F'!$D$4</c:f>
              <c:strCache>
                <c:ptCount val="1"/>
                <c:pt idx="0">
                  <c:v>Sum of Ammonia Kg_Day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'Chart for condenser with DEHA F'!$A$5:$A$17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for condenser with DEHA F'!$D$5:$D$17</c:f>
              <c:numCache>
                <c:formatCode>0.00</c:formatCode>
                <c:ptCount val="12"/>
                <c:pt idx="0">
                  <c:v>67</c:v>
                </c:pt>
                <c:pt idx="1">
                  <c:v>57</c:v>
                </c:pt>
                <c:pt idx="2">
                  <c:v>69.2</c:v>
                </c:pt>
                <c:pt idx="3">
                  <c:v>69.599999999999994</c:v>
                </c:pt>
                <c:pt idx="4">
                  <c:v>69.800000000000011</c:v>
                </c:pt>
                <c:pt idx="5">
                  <c:v>70.8</c:v>
                </c:pt>
                <c:pt idx="6">
                  <c:v>70.999999999999986</c:v>
                </c:pt>
                <c:pt idx="7">
                  <c:v>71.8</c:v>
                </c:pt>
                <c:pt idx="8">
                  <c:v>72</c:v>
                </c:pt>
                <c:pt idx="9">
                  <c:v>72.8</c:v>
                </c:pt>
                <c:pt idx="10">
                  <c:v>73</c:v>
                </c:pt>
                <c:pt idx="11">
                  <c:v>73.8</c:v>
                </c:pt>
              </c:numCache>
            </c:numRef>
          </c:val>
          <c:smooth val="0"/>
          <c:extLst>
            <c:ext xmlns:c16="http://schemas.microsoft.com/office/drawing/2014/chart" uri="{C3380CC4-5D6E-409C-BE32-E72D297353CC}">
              <c16:uniqueId val="{00000002-D417-495F-B156-11327E128A63}"/>
            </c:ext>
          </c:extLst>
        </c:ser>
        <c:dLbls>
          <c:showLegendKey val="0"/>
          <c:showVal val="0"/>
          <c:showCatName val="0"/>
          <c:showSerName val="0"/>
          <c:showPercent val="0"/>
          <c:showBubbleSize val="0"/>
        </c:dLbls>
        <c:marker val="1"/>
        <c:smooth val="0"/>
        <c:axId val="80197887"/>
        <c:axId val="80199967"/>
      </c:lineChart>
      <c:catAx>
        <c:axId val="801978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99967"/>
        <c:crosses val="autoZero"/>
        <c:auto val="1"/>
        <c:lblAlgn val="ctr"/>
        <c:lblOffset val="100"/>
        <c:noMultiLvlLbl val="0"/>
      </c:catAx>
      <c:valAx>
        <c:axId val="801999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E2-4293-B6E6-119D858C87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E2-4293-B6E6-119D858C87A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('Descriptive Statistics  EEQUAL'!$A$5,'Descriptive Statistics  EEQUAL'!$A$6)</c:f>
              <c:strCache>
                <c:ptCount val="2"/>
                <c:pt idx="0">
                  <c:v>Hydrazine_Dosage_Kg</c:v>
                </c:pt>
                <c:pt idx="1">
                  <c:v>DEHA Dosage Kg_Day</c:v>
                </c:pt>
              </c:strCache>
            </c:strRef>
          </c:cat>
          <c:val>
            <c:numRef>
              <c:f>('Descriptive Statistics  EEQUAL'!$E$5,'Descriptive Statistics  EEQUAL'!$E$6)</c:f>
              <c:numCache>
                <c:formatCode>0" kg"</c:formatCode>
                <c:ptCount val="2"/>
                <c:pt idx="0">
                  <c:v>648.29999999999984</c:v>
                </c:pt>
                <c:pt idx="1">
                  <c:v>695</c:v>
                </c:pt>
              </c:numCache>
            </c:numRef>
          </c:val>
          <c:extLst>
            <c:ext xmlns:c16="http://schemas.microsoft.com/office/drawing/2014/chart" uri="{C3380CC4-5D6E-409C-BE32-E72D297353CC}">
              <c16:uniqueId val="{00000004-B0E2-4293-B6E6-119D858C87A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Chart Variables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'Descriptive Statistics  EEQUAL'!$B$2</c:f>
              <c:strCache>
                <c:ptCount val="1"/>
                <c:pt idx="0">
                  <c:v>MIN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Statistics  EEQUAL'!$A$8:$A$17</c:f>
              <c:strCache>
                <c:ptCount val="10"/>
                <c:pt idx="0">
                  <c:v>Condensate Ph</c:v>
                </c:pt>
                <c:pt idx="1">
                  <c:v>Condensate Cond</c:v>
                </c:pt>
                <c:pt idx="2">
                  <c:v>Condensate Do</c:v>
                </c:pt>
                <c:pt idx="3">
                  <c:v>Boiler 
Ph</c:v>
                </c:pt>
                <c:pt idx="4">
                  <c:v>Boiler 
Cond</c:v>
                </c:pt>
                <c:pt idx="5">
                  <c:v>Boiler 
Po4</c:v>
                </c:pt>
                <c:pt idx="6">
                  <c:v>Boiler 
Fe</c:v>
                </c:pt>
                <c:pt idx="7">
                  <c:v>Main Steam  Ph</c:v>
                </c:pt>
                <c:pt idx="8">
                  <c:v>Main Steam Cond</c:v>
                </c:pt>
                <c:pt idx="9">
                  <c:v>Main Steam Fe</c:v>
                </c:pt>
              </c:strCache>
            </c:strRef>
          </c:cat>
          <c:val>
            <c:numRef>
              <c:f>'Descriptive Statistics  EEQUAL'!$B$8:$B$17</c:f>
              <c:numCache>
                <c:formatCode>0</c:formatCode>
                <c:ptCount val="10"/>
                <c:pt idx="0">
                  <c:v>8.1</c:v>
                </c:pt>
                <c:pt idx="1">
                  <c:v>3.3</c:v>
                </c:pt>
                <c:pt idx="2">
                  <c:v>3.5</c:v>
                </c:pt>
                <c:pt idx="3">
                  <c:v>8</c:v>
                </c:pt>
                <c:pt idx="4">
                  <c:v>6.7</c:v>
                </c:pt>
                <c:pt idx="5">
                  <c:v>2.7</c:v>
                </c:pt>
                <c:pt idx="6">
                  <c:v>1.1000000000000001</c:v>
                </c:pt>
                <c:pt idx="7">
                  <c:v>8.6999999999999993</c:v>
                </c:pt>
                <c:pt idx="8">
                  <c:v>4.5</c:v>
                </c:pt>
                <c:pt idx="9">
                  <c:v>0.4</c:v>
                </c:pt>
              </c:numCache>
            </c:numRef>
          </c:val>
          <c:extLst>
            <c:ext xmlns:c16="http://schemas.microsoft.com/office/drawing/2014/chart" uri="{C3380CC4-5D6E-409C-BE32-E72D297353CC}">
              <c16:uniqueId val="{00000000-4EE6-4100-A15F-EE45827D3601}"/>
            </c:ext>
          </c:extLst>
        </c:ser>
        <c:ser>
          <c:idx val="1"/>
          <c:order val="1"/>
          <c:tx>
            <c:strRef>
              <c:f>'Descriptive Statistics  EEQUAL'!$C$2</c:f>
              <c:strCache>
                <c:ptCount val="1"/>
                <c:pt idx="0">
                  <c:v>MAX</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Statistics  EEQUAL'!$A$8:$A$17</c:f>
              <c:strCache>
                <c:ptCount val="10"/>
                <c:pt idx="0">
                  <c:v>Condensate Ph</c:v>
                </c:pt>
                <c:pt idx="1">
                  <c:v>Condensate Cond</c:v>
                </c:pt>
                <c:pt idx="2">
                  <c:v>Condensate Do</c:v>
                </c:pt>
                <c:pt idx="3">
                  <c:v>Boiler 
Ph</c:v>
                </c:pt>
                <c:pt idx="4">
                  <c:v>Boiler 
Cond</c:v>
                </c:pt>
                <c:pt idx="5">
                  <c:v>Boiler 
Po4</c:v>
                </c:pt>
                <c:pt idx="6">
                  <c:v>Boiler 
Fe</c:v>
                </c:pt>
                <c:pt idx="7">
                  <c:v>Main Steam  Ph</c:v>
                </c:pt>
                <c:pt idx="8">
                  <c:v>Main Steam Cond</c:v>
                </c:pt>
                <c:pt idx="9">
                  <c:v>Main Steam Fe</c:v>
                </c:pt>
              </c:strCache>
            </c:strRef>
          </c:cat>
          <c:val>
            <c:numRef>
              <c:f>'Descriptive Statistics  EEQUAL'!$C$8:$C$17</c:f>
              <c:numCache>
                <c:formatCode>0</c:formatCode>
                <c:ptCount val="10"/>
                <c:pt idx="0">
                  <c:v>9.6999999999999993</c:v>
                </c:pt>
                <c:pt idx="1">
                  <c:v>4.7</c:v>
                </c:pt>
                <c:pt idx="2">
                  <c:v>9.8000000000000007</c:v>
                </c:pt>
                <c:pt idx="3">
                  <c:v>9.9</c:v>
                </c:pt>
                <c:pt idx="4">
                  <c:v>16.8</c:v>
                </c:pt>
                <c:pt idx="5">
                  <c:v>6</c:v>
                </c:pt>
                <c:pt idx="6">
                  <c:v>7.9</c:v>
                </c:pt>
                <c:pt idx="7">
                  <c:v>9.6999999999999993</c:v>
                </c:pt>
                <c:pt idx="8">
                  <c:v>9.5</c:v>
                </c:pt>
                <c:pt idx="9">
                  <c:v>7.8</c:v>
                </c:pt>
              </c:numCache>
            </c:numRef>
          </c:val>
          <c:extLst>
            <c:ext xmlns:c16="http://schemas.microsoft.com/office/drawing/2014/chart" uri="{C3380CC4-5D6E-409C-BE32-E72D297353CC}">
              <c16:uniqueId val="{00000001-4EE6-4100-A15F-EE45827D3601}"/>
            </c:ext>
          </c:extLst>
        </c:ser>
        <c:ser>
          <c:idx val="2"/>
          <c:order val="2"/>
          <c:tx>
            <c:strRef>
              <c:f>'Descriptive Statistics  EEQUAL'!$D$2</c:f>
              <c:strCache>
                <c:ptCount val="1"/>
                <c:pt idx="0">
                  <c:v>Average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Statistics  EEQUAL'!$A$8:$A$17</c:f>
              <c:strCache>
                <c:ptCount val="10"/>
                <c:pt idx="0">
                  <c:v>Condensate Ph</c:v>
                </c:pt>
                <c:pt idx="1">
                  <c:v>Condensate Cond</c:v>
                </c:pt>
                <c:pt idx="2">
                  <c:v>Condensate Do</c:v>
                </c:pt>
                <c:pt idx="3">
                  <c:v>Boiler 
Ph</c:v>
                </c:pt>
                <c:pt idx="4">
                  <c:v>Boiler 
Cond</c:v>
                </c:pt>
                <c:pt idx="5">
                  <c:v>Boiler 
Po4</c:v>
                </c:pt>
                <c:pt idx="6">
                  <c:v>Boiler 
Fe</c:v>
                </c:pt>
                <c:pt idx="7">
                  <c:v>Main Steam  Ph</c:v>
                </c:pt>
                <c:pt idx="8">
                  <c:v>Main Steam Cond</c:v>
                </c:pt>
                <c:pt idx="9">
                  <c:v>Main Steam Fe</c:v>
                </c:pt>
              </c:strCache>
            </c:strRef>
          </c:cat>
          <c:val>
            <c:numRef>
              <c:f>'Descriptive Statistics  EEQUAL'!$D$8:$D$17</c:f>
              <c:numCache>
                <c:formatCode>0</c:formatCode>
                <c:ptCount val="10"/>
                <c:pt idx="0">
                  <c:v>9.2816901408450718</c:v>
                </c:pt>
                <c:pt idx="1">
                  <c:v>3.8690140845070404</c:v>
                </c:pt>
                <c:pt idx="2">
                  <c:v>5.7732394366197193</c:v>
                </c:pt>
                <c:pt idx="3">
                  <c:v>9.4605633802816929</c:v>
                </c:pt>
                <c:pt idx="4">
                  <c:v>13.195774647887317</c:v>
                </c:pt>
                <c:pt idx="5">
                  <c:v>4.0169014084507051</c:v>
                </c:pt>
                <c:pt idx="6">
                  <c:v>3.2830985915492956</c:v>
                </c:pt>
                <c:pt idx="7">
                  <c:v>9.3014084507042263</c:v>
                </c:pt>
                <c:pt idx="8">
                  <c:v>6.5267605633802823</c:v>
                </c:pt>
                <c:pt idx="9">
                  <c:v>2.0830985915492954</c:v>
                </c:pt>
              </c:numCache>
            </c:numRef>
          </c:val>
          <c:extLst>
            <c:ext xmlns:c16="http://schemas.microsoft.com/office/drawing/2014/chart" uri="{C3380CC4-5D6E-409C-BE32-E72D297353CC}">
              <c16:uniqueId val="{00000002-4EE6-4100-A15F-EE45827D3601}"/>
            </c:ext>
          </c:extLst>
        </c:ser>
        <c:dLbls>
          <c:showLegendKey val="0"/>
          <c:showVal val="0"/>
          <c:showCatName val="0"/>
          <c:showSerName val="0"/>
          <c:showPercent val="0"/>
          <c:showBubbleSize val="0"/>
        </c:dLbls>
        <c:gapWidth val="100"/>
        <c:overlap val="-24"/>
        <c:axId val="1336759760"/>
        <c:axId val="1336763920"/>
      </c:barChart>
      <c:catAx>
        <c:axId val="1336759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763920"/>
        <c:crosses val="autoZero"/>
        <c:auto val="1"/>
        <c:lblAlgn val="ctr"/>
        <c:lblOffset val="100"/>
        <c:noMultiLvlLbl val="0"/>
      </c:catAx>
      <c:valAx>
        <c:axId val="13367639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75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Average</a:t>
            </a:r>
            <a:r>
              <a:rPr lang="en-US" baseline="0"/>
              <a:t> for Variables at </a:t>
            </a:r>
            <a:r>
              <a:rPr lang="en-US" sz="1400" b="1" i="0" u="none" strike="noStrike" baseline="0">
                <a:effectLst/>
              </a:rPr>
              <a:t>Average</a:t>
            </a:r>
            <a:r>
              <a:rPr lang="en-US" sz="1400" b="0" i="0" u="none" strike="noStrike" baseline="0"/>
              <a:t>  </a:t>
            </a:r>
            <a:r>
              <a:rPr lang="en-US" sz="1400" b="1" i="0" u="none" strike="noStrike" baseline="0">
                <a:effectLst/>
              </a:rPr>
              <a:t>Unit Load </a:t>
            </a:r>
            <a:r>
              <a:rPr lang="en-US" baseline="0"/>
              <a:t> </a:t>
            </a:r>
            <a:r>
              <a:rPr lang="en-US" sz="1400" b="1" i="0" u="none" strike="noStrike" baseline="0">
                <a:effectLst/>
              </a:rPr>
              <a:t>500 MW</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Statistics  EEQUAL'!$A$4:$A$17</c:f>
              <c:strCache>
                <c:ptCount val="14"/>
                <c:pt idx="0">
                  <c:v>Ammonia_Dosage_Kg</c:v>
                </c:pt>
                <c:pt idx="1">
                  <c:v>Hydrazine_Dosage_Kg</c:v>
                </c:pt>
                <c:pt idx="2">
                  <c:v>DEHA Dosage Kg_Day</c:v>
                </c:pt>
                <c:pt idx="3">
                  <c:v>Phosphate_Dosage_Kg</c:v>
                </c:pt>
                <c:pt idx="4">
                  <c:v>Condensate Ph</c:v>
                </c:pt>
                <c:pt idx="5">
                  <c:v>Condensate Cond</c:v>
                </c:pt>
                <c:pt idx="6">
                  <c:v>Condensate Do</c:v>
                </c:pt>
                <c:pt idx="7">
                  <c:v>Boiler 
Ph</c:v>
                </c:pt>
                <c:pt idx="8">
                  <c:v>Boiler 
Cond</c:v>
                </c:pt>
                <c:pt idx="9">
                  <c:v>Boiler 
Po4</c:v>
                </c:pt>
                <c:pt idx="10">
                  <c:v>Boiler 
Fe</c:v>
                </c:pt>
                <c:pt idx="11">
                  <c:v>Main Steam  Ph</c:v>
                </c:pt>
                <c:pt idx="12">
                  <c:v>Main Steam Cond</c:v>
                </c:pt>
                <c:pt idx="13">
                  <c:v>Main Steam Fe</c:v>
                </c:pt>
              </c:strCache>
            </c:strRef>
          </c:cat>
          <c:val>
            <c:numRef>
              <c:f>'Descriptive Statistics  EEQUAL'!$D$4:$D$17</c:f>
              <c:numCache>
                <c:formatCode>0</c:formatCode>
                <c:ptCount val="14"/>
                <c:pt idx="0">
                  <c:v>11.799999999999995</c:v>
                </c:pt>
                <c:pt idx="1">
                  <c:v>9.1309859154929551</c:v>
                </c:pt>
                <c:pt idx="2">
                  <c:v>9.7887323943661979</c:v>
                </c:pt>
                <c:pt idx="3">
                  <c:v>3.4154929577464785</c:v>
                </c:pt>
                <c:pt idx="4">
                  <c:v>9.2816901408450718</c:v>
                </c:pt>
                <c:pt idx="5">
                  <c:v>3.8690140845070404</c:v>
                </c:pt>
                <c:pt idx="6">
                  <c:v>5.7732394366197193</c:v>
                </c:pt>
                <c:pt idx="7">
                  <c:v>9.4605633802816929</c:v>
                </c:pt>
                <c:pt idx="8">
                  <c:v>13.195774647887317</c:v>
                </c:pt>
                <c:pt idx="9">
                  <c:v>4.0169014084507051</c:v>
                </c:pt>
                <c:pt idx="10">
                  <c:v>3.2830985915492956</c:v>
                </c:pt>
                <c:pt idx="11">
                  <c:v>9.3014084507042263</c:v>
                </c:pt>
                <c:pt idx="12">
                  <c:v>6.5267605633802823</c:v>
                </c:pt>
                <c:pt idx="13">
                  <c:v>2.0830985915492954</c:v>
                </c:pt>
              </c:numCache>
            </c:numRef>
          </c:val>
          <c:extLst>
            <c:ext xmlns:c16="http://schemas.microsoft.com/office/drawing/2014/chart" uri="{C3380CC4-5D6E-409C-BE32-E72D297353CC}">
              <c16:uniqueId val="{00000000-A336-41AD-9066-D31F1A354A6F}"/>
            </c:ext>
          </c:extLst>
        </c:ser>
        <c:dLbls>
          <c:showLegendKey val="0"/>
          <c:showVal val="0"/>
          <c:showCatName val="0"/>
          <c:showSerName val="0"/>
          <c:showPercent val="0"/>
          <c:showBubbleSize val="0"/>
        </c:dLbls>
        <c:gapWidth val="182"/>
        <c:axId val="1498737936"/>
        <c:axId val="1498732944"/>
      </c:barChart>
      <c:catAx>
        <c:axId val="149873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32944"/>
        <c:crosses val="autoZero"/>
        <c:auto val="1"/>
        <c:lblAlgn val="ctr"/>
        <c:lblOffset val="100"/>
        <c:noMultiLvlLbl val="0"/>
      </c:catAx>
      <c:valAx>
        <c:axId val="14987329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3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800" b="1">
                <a:solidFill>
                  <a:srgbClr val="002060"/>
                </a:solidFill>
              </a:rPr>
              <a:t>CHEMICAL CONSUMPTION</a:t>
            </a:r>
          </a:p>
        </c:rich>
      </c:tx>
      <c:layout>
        <c:manualLayout>
          <c:xMode val="edge"/>
          <c:yMode val="edge"/>
          <c:x val="8.6627363426780402E-2"/>
          <c:y val="6.504065040650407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123371580204681E-3"/>
          <c:y val="0.25069918699186994"/>
          <c:w val="0.99246298852593862"/>
          <c:h val="0.713528455284553"/>
        </c:manualLayout>
      </c:layout>
      <c:bar3DChart>
        <c:barDir val="col"/>
        <c:grouping val="stacked"/>
        <c:varyColors val="0"/>
        <c:ser>
          <c:idx val="0"/>
          <c:order val="0"/>
          <c:spPr>
            <a:solidFill>
              <a:srgbClr val="00FF00"/>
            </a:solidFill>
            <a:ln>
              <a:noFill/>
            </a:ln>
            <a:effectLst/>
            <a:sp3d/>
          </c:spPr>
          <c:invertIfNegative val="0"/>
          <c:dPt>
            <c:idx val="1"/>
            <c:invertIfNegative val="0"/>
            <c:bubble3D val="0"/>
            <c:spPr>
              <a:solidFill>
                <a:srgbClr val="00B0F0"/>
              </a:solidFill>
              <a:ln>
                <a:noFill/>
              </a:ln>
              <a:effectLst/>
              <a:sp3d/>
            </c:spPr>
            <c:extLst>
              <c:ext xmlns:c16="http://schemas.microsoft.com/office/drawing/2014/chart" uri="{C3380CC4-5D6E-409C-BE32-E72D297353CC}">
                <c16:uniqueId val="{00000001-FDA7-4426-98F3-56B685F89D8C}"/>
              </c:ext>
            </c:extLst>
          </c:dPt>
          <c:dPt>
            <c:idx val="2"/>
            <c:invertIfNegative val="0"/>
            <c:bubble3D val="0"/>
            <c:spPr>
              <a:solidFill>
                <a:srgbClr val="FFFF00"/>
              </a:solidFill>
              <a:ln>
                <a:noFill/>
              </a:ln>
              <a:effectLst/>
              <a:sp3d/>
            </c:spPr>
            <c:extLst>
              <c:ext xmlns:c16="http://schemas.microsoft.com/office/drawing/2014/chart" uri="{C3380CC4-5D6E-409C-BE32-E72D297353CC}">
                <c16:uniqueId val="{00000003-FDA7-4426-98F3-56B685F89D8C}"/>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5-FDA7-4426-98F3-56B685F89D8C}"/>
              </c:ext>
            </c:extLst>
          </c:dPt>
          <c:dLbls>
            <c:dLbl>
              <c:idx val="0"/>
              <c:layout>
                <c:manualLayout>
                  <c:x val="-6.9664625255176432E-4"/>
                  <c:y val="-3.2023215407933223E-2"/>
                </c:manualLayout>
              </c:layout>
              <c:tx>
                <c:rich>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fld id="{EA1B3E42-FCC1-420B-BA22-4CA9AF8B488A}" type="CATEGORYNAME">
                      <a:rPr lang="en-US" sz="1200" b="1" i="0" u="none" strike="noStrike" kern="1200" baseline="0">
                        <a:solidFill>
                          <a:sysClr val="windowText" lastClr="000000">
                            <a:lumMod val="75000"/>
                            <a:lumOff val="25000"/>
                          </a:sysClr>
                        </a:solidFill>
                        <a:latin typeface="+mn-lt"/>
                        <a:ea typeface="+mn-ea"/>
                        <a:cs typeface="+mn-cs"/>
                      </a:rPr>
                      <a:pPr algn="ctr" rtl="0">
                        <a:defRPr lang="en-US" sz="1200" b="1">
                          <a:solidFill>
                            <a:sysClr val="windowText" lastClr="000000">
                              <a:lumMod val="75000"/>
                              <a:lumOff val="25000"/>
                            </a:sysClr>
                          </a:solidFill>
                        </a:defRPr>
                      </a:pPr>
                      <a:t>[CATEGORY NAME]</a:t>
                    </a:fld>
                    <a:r>
                      <a:rPr lang="en-US" sz="1200" b="1" i="0" u="none" strike="noStrike" kern="1200" baseline="0">
                        <a:solidFill>
                          <a:sysClr val="windowText" lastClr="000000">
                            <a:lumMod val="75000"/>
                            <a:lumOff val="25000"/>
                          </a:sysClr>
                        </a:solidFill>
                        <a:latin typeface="+mn-lt"/>
                        <a:ea typeface="+mn-ea"/>
                        <a:cs typeface="+mn-cs"/>
                      </a:rPr>
                      <a:t> 837.8 KG </a:t>
                    </a:r>
                  </a:p>
                </c:rich>
              </c:tx>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324946048410616"/>
                      <c:h val="0.21586854460093896"/>
                    </c:manualLayout>
                  </c15:layout>
                  <c15:dlblFieldTable/>
                  <c15:showDataLabelsRange val="0"/>
                </c:ext>
                <c:ext xmlns:c16="http://schemas.microsoft.com/office/drawing/2014/chart" uri="{C3380CC4-5D6E-409C-BE32-E72D297353CC}">
                  <c16:uniqueId val="{00000006-FDA7-4426-98F3-56B685F89D8C}"/>
                </c:ext>
              </c:extLst>
            </c:dLbl>
            <c:dLbl>
              <c:idx val="1"/>
              <c:layout>
                <c:manualLayout>
                  <c:x val="3.9507728200641589E-3"/>
                  <c:y val="-9.7026727292891204E-2"/>
                </c:manualLayout>
              </c:layout>
              <c:tx>
                <c:rich>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fld id="{A5CF4539-8B80-4CE7-B1C5-B5F924DD745D}" type="CATEGORYNAME">
                      <a:rPr lang="en-US" sz="1200" b="1" i="0" u="none" strike="noStrike" kern="1200" baseline="0">
                        <a:solidFill>
                          <a:sysClr val="windowText" lastClr="000000">
                            <a:lumMod val="75000"/>
                            <a:lumOff val="25000"/>
                          </a:sysClr>
                        </a:solidFill>
                        <a:latin typeface="+mn-lt"/>
                        <a:ea typeface="+mn-ea"/>
                        <a:cs typeface="+mn-cs"/>
                      </a:rPr>
                      <a:pPr algn="ctr" rtl="0">
                        <a:defRPr lang="en-US" sz="1200" b="1">
                          <a:solidFill>
                            <a:sysClr val="windowText" lastClr="000000">
                              <a:lumMod val="75000"/>
                              <a:lumOff val="25000"/>
                            </a:sysClr>
                          </a:solidFill>
                        </a:defRPr>
                      </a:pPr>
                      <a:t>[CATEGORY NAME]</a:t>
                    </a:fld>
                    <a:r>
                      <a:rPr lang="en-US" sz="1200" b="1" i="0" u="none" strike="noStrike" kern="1200" baseline="0">
                        <a:solidFill>
                          <a:sysClr val="windowText" lastClr="000000">
                            <a:lumMod val="75000"/>
                            <a:lumOff val="25000"/>
                          </a:sysClr>
                        </a:solidFill>
                        <a:latin typeface="+mn-lt"/>
                        <a:ea typeface="+mn-ea"/>
                        <a:cs typeface="+mn-cs"/>
                      </a:rPr>
                      <a:t> 648.3 KG</a:t>
                    </a:r>
                  </a:p>
                </c:rich>
              </c:tx>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834575678040245"/>
                      <c:h val="0.24820031298904535"/>
                    </c:manualLayout>
                  </c15:layout>
                  <c15:dlblFieldTable/>
                  <c15:showDataLabelsRange val="0"/>
                </c:ext>
                <c:ext xmlns:c16="http://schemas.microsoft.com/office/drawing/2014/chart" uri="{C3380CC4-5D6E-409C-BE32-E72D297353CC}">
                  <c16:uniqueId val="{00000001-FDA7-4426-98F3-56B685F89D8C}"/>
                </c:ext>
              </c:extLst>
            </c:dLbl>
            <c:dLbl>
              <c:idx val="2"/>
              <c:layout>
                <c:manualLayout>
                  <c:x val="-1.827549334111014E-4"/>
                  <c:y val="-5.6338028169014086E-2"/>
                </c:manualLayout>
              </c:layout>
              <c:tx>
                <c:rich>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fld id="{93D12C4E-9F3F-44A7-9E78-CFBAB891BE13}" type="CATEGORYNAME">
                      <a:rPr lang="en-US"/>
                      <a:pPr algn="ctr" rtl="0">
                        <a:defRPr lang="en-US" sz="1200" b="1">
                          <a:solidFill>
                            <a:sysClr val="windowText" lastClr="000000">
                              <a:lumMod val="75000"/>
                              <a:lumOff val="25000"/>
                            </a:sysClr>
                          </a:solidFill>
                        </a:defRPr>
                      </a:pPr>
                      <a:t>[CATEGORY NAME]</a:t>
                    </a:fld>
                    <a:r>
                      <a:rPr lang="en-US" baseline="0"/>
                      <a:t> 695 KG</a:t>
                    </a:r>
                  </a:p>
                </c:rich>
              </c:tx>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948148148148148"/>
                      <c:h val="0.16369327073552425"/>
                    </c:manualLayout>
                  </c15:layout>
                  <c15:dlblFieldTable/>
                  <c15:showDataLabelsRange val="0"/>
                </c:ext>
                <c:ext xmlns:c16="http://schemas.microsoft.com/office/drawing/2014/chart" uri="{C3380CC4-5D6E-409C-BE32-E72D297353CC}">
                  <c16:uniqueId val="{00000003-FDA7-4426-98F3-56B685F89D8C}"/>
                </c:ext>
              </c:extLst>
            </c:dLbl>
            <c:dLbl>
              <c:idx val="3"/>
              <c:layout>
                <c:manualLayout>
                  <c:x val="9.8773208904442511E-4"/>
                  <c:y val="1.5650684509506735E-3"/>
                </c:manualLayout>
              </c:layout>
              <c:tx>
                <c:rich>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fld id="{30D02C90-3333-459F-B64C-392A8FCE2EB8}" type="CATEGORYNAME">
                      <a:rPr lang="en-US" sz="1200" b="1" i="0" u="none" strike="noStrike" kern="1200" baseline="0">
                        <a:solidFill>
                          <a:sysClr val="windowText" lastClr="000000">
                            <a:lumMod val="75000"/>
                            <a:lumOff val="25000"/>
                          </a:sysClr>
                        </a:solidFill>
                        <a:latin typeface="+mn-lt"/>
                        <a:ea typeface="+mn-ea"/>
                        <a:cs typeface="+mn-cs"/>
                      </a:rPr>
                      <a:pPr algn="ctr" rtl="0">
                        <a:defRPr lang="en-US" sz="1200" b="1">
                          <a:solidFill>
                            <a:sysClr val="windowText" lastClr="000000">
                              <a:lumMod val="75000"/>
                              <a:lumOff val="25000"/>
                            </a:sysClr>
                          </a:solidFill>
                        </a:defRPr>
                      </a:pPr>
                      <a:t>[CATEGORY NAME]</a:t>
                    </a:fld>
                    <a:r>
                      <a:rPr lang="en-US" sz="1200" b="1" i="0" u="none" strike="noStrike" kern="1200" baseline="0">
                        <a:solidFill>
                          <a:sysClr val="windowText" lastClr="000000">
                            <a:lumMod val="75000"/>
                            <a:lumOff val="25000"/>
                          </a:sysClr>
                        </a:solidFill>
                        <a:latin typeface="+mn-lt"/>
                        <a:ea typeface="+mn-ea"/>
                        <a:cs typeface="+mn-cs"/>
                      </a:rPr>
                      <a:t> 242.5KG</a:t>
                    </a:r>
                  </a:p>
                </c:rich>
              </c:tx>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860748517546416"/>
                      <c:h val="0.18137715179968697"/>
                    </c:manualLayout>
                  </c15:layout>
                  <c15:dlblFieldTable/>
                  <c15:showDataLabelsRange val="0"/>
                </c:ext>
                <c:ext xmlns:c16="http://schemas.microsoft.com/office/drawing/2014/chart" uri="{C3380CC4-5D6E-409C-BE32-E72D297353CC}">
                  <c16:uniqueId val="{00000005-FDA7-4426-98F3-56B685F89D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Sheet4!$A$8:$A$11</c:f>
              <c:strCache>
                <c:ptCount val="4"/>
                <c:pt idx="0">
                  <c:v>Sum of Ammonia</c:v>
                </c:pt>
                <c:pt idx="1">
                  <c:v>Sum of Hydrazine </c:v>
                </c:pt>
                <c:pt idx="2">
                  <c:v>Sum of DEHA </c:v>
                </c:pt>
                <c:pt idx="3">
                  <c:v>Sum of Phosphate </c:v>
                </c:pt>
              </c:strCache>
            </c:strRef>
          </c:cat>
          <c:val>
            <c:numRef>
              <c:f>Sheet4!$B$8:$B$11</c:f>
              <c:numCache>
                <c:formatCode>0.0" % "</c:formatCode>
                <c:ptCount val="4"/>
                <c:pt idx="0">
                  <c:v>837.8</c:v>
                </c:pt>
                <c:pt idx="1">
                  <c:v>648.29999999999995</c:v>
                </c:pt>
                <c:pt idx="2">
                  <c:v>695</c:v>
                </c:pt>
                <c:pt idx="3">
                  <c:v>242.5</c:v>
                </c:pt>
              </c:numCache>
            </c:numRef>
          </c:val>
          <c:extLst>
            <c:ext xmlns:c16="http://schemas.microsoft.com/office/drawing/2014/chart" uri="{C3380CC4-5D6E-409C-BE32-E72D297353CC}">
              <c16:uniqueId val="{00000007-FDA7-4426-98F3-56B685F89D8C}"/>
            </c:ext>
          </c:extLst>
        </c:ser>
        <c:ser>
          <c:idx val="1"/>
          <c:order val="1"/>
          <c:spPr>
            <a:solidFill>
              <a:schemeClr val="bg1"/>
            </a:solidFill>
            <a:ln>
              <a:noFill/>
            </a:ln>
            <a:effectLst/>
            <a:scene3d>
              <a:camera prst="orthographicFront"/>
              <a:lightRig rig="threePt" dir="t"/>
            </a:scene3d>
            <a:sp3d prstMaterial="clear"/>
          </c:spPr>
          <c:invertIfNegative val="0"/>
          <c:dLbls>
            <c:delete val="1"/>
          </c:dLbls>
          <c:cat>
            <c:strRef>
              <c:f>Sheet4!$A$8:$A$11</c:f>
              <c:strCache>
                <c:ptCount val="4"/>
                <c:pt idx="0">
                  <c:v>Sum of Ammonia</c:v>
                </c:pt>
                <c:pt idx="1">
                  <c:v>Sum of Hydrazine </c:v>
                </c:pt>
                <c:pt idx="2">
                  <c:v>Sum of DEHA </c:v>
                </c:pt>
                <c:pt idx="3">
                  <c:v>Sum of Phosphate </c:v>
                </c:pt>
              </c:strCache>
            </c:strRef>
          </c:cat>
          <c:val>
            <c:numRef>
              <c:f>Sheet4!$C$8:$C$11</c:f>
              <c:numCache>
                <c:formatCode>0.0" % "</c:formatCode>
                <c:ptCount val="4"/>
                <c:pt idx="0">
                  <c:v>162.20000000000005</c:v>
                </c:pt>
                <c:pt idx="1">
                  <c:v>351.70000000000005</c:v>
                </c:pt>
                <c:pt idx="2">
                  <c:v>305</c:v>
                </c:pt>
                <c:pt idx="3">
                  <c:v>757.5</c:v>
                </c:pt>
              </c:numCache>
            </c:numRef>
          </c:val>
          <c:extLst>
            <c:ext xmlns:c16="http://schemas.microsoft.com/office/drawing/2014/chart" uri="{C3380CC4-5D6E-409C-BE32-E72D297353CC}">
              <c16:uniqueId val="{00000008-FDA7-4426-98F3-56B685F89D8C}"/>
            </c:ext>
          </c:extLst>
        </c:ser>
        <c:dLbls>
          <c:showLegendKey val="0"/>
          <c:showVal val="1"/>
          <c:showCatName val="0"/>
          <c:showSerName val="0"/>
          <c:showPercent val="0"/>
          <c:showBubbleSize val="0"/>
        </c:dLbls>
        <c:gapWidth val="30"/>
        <c:gapDepth val="0"/>
        <c:shape val="cylinder"/>
        <c:axId val="1416496640"/>
        <c:axId val="1416507040"/>
        <c:axId val="0"/>
      </c:bar3DChart>
      <c:catAx>
        <c:axId val="1416496640"/>
        <c:scaling>
          <c:orientation val="minMax"/>
        </c:scaling>
        <c:delete val="1"/>
        <c:axPos val="b"/>
        <c:numFmt formatCode="General" sourceLinked="1"/>
        <c:majorTickMark val="none"/>
        <c:minorTickMark val="none"/>
        <c:tickLblPos val="nextTo"/>
        <c:crossAx val="1416507040"/>
        <c:crosses val="autoZero"/>
        <c:auto val="1"/>
        <c:lblAlgn val="ctr"/>
        <c:lblOffset val="100"/>
        <c:noMultiLvlLbl val="0"/>
      </c:catAx>
      <c:valAx>
        <c:axId val="1416507040"/>
        <c:scaling>
          <c:orientation val="minMax"/>
        </c:scaling>
        <c:delete val="1"/>
        <c:axPos val="l"/>
        <c:numFmt formatCode="0.0&quot; % &quot;" sourceLinked="1"/>
        <c:majorTickMark val="none"/>
        <c:minorTickMark val="none"/>
        <c:tickLblPos val="nextTo"/>
        <c:crossAx val="141649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final.xlsx]SLICER!PivotTable10</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SLICER!$A$4:$A$5</c:f>
              <c:strCache>
                <c:ptCount val="1"/>
                <c:pt idx="0">
                  <c:v>Ammonia_Dosage_Kg</c:v>
                </c:pt>
              </c:strCache>
            </c:strRef>
          </c:cat>
          <c:val>
            <c:numRef>
              <c:f>SLICER!$B$4:$B$5</c:f>
              <c:numCache>
                <c:formatCode>0.0</c:formatCode>
                <c:ptCount val="1"/>
                <c:pt idx="0">
                  <c:v>11.799999999999995</c:v>
                </c:pt>
              </c:numCache>
            </c:numRef>
          </c:val>
          <c:extLst>
            <c:ext xmlns:c16="http://schemas.microsoft.com/office/drawing/2014/chart" uri="{C3380CC4-5D6E-409C-BE32-E72D297353CC}">
              <c16:uniqueId val="{00000000-550E-4131-A9BE-41EB190FD816}"/>
            </c:ext>
          </c:extLst>
        </c:ser>
        <c:dLbls>
          <c:dLblPos val="outEnd"/>
          <c:showLegendKey val="0"/>
          <c:showVal val="1"/>
          <c:showCatName val="0"/>
          <c:showSerName val="0"/>
          <c:showPercent val="0"/>
          <c:showBubbleSize val="0"/>
        </c:dLbls>
        <c:gapWidth val="425"/>
        <c:overlap val="24"/>
        <c:axId val="80710752"/>
        <c:axId val="80722816"/>
      </c:barChart>
      <c:catAx>
        <c:axId val="8071075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crossAx val="80722816"/>
        <c:crosses val="autoZero"/>
        <c:auto val="1"/>
        <c:lblAlgn val="ctr"/>
        <c:lblOffset val="100"/>
        <c:noMultiLvlLbl val="0"/>
      </c:catAx>
      <c:valAx>
        <c:axId val="807228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 treatment for boiler final.xlsx]SLICER!PivotTable10</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p>
        </c:rich>
      </c:tx>
      <c:layout>
        <c:manualLayout>
          <c:xMode val="edge"/>
          <c:yMode val="edge"/>
          <c:x val="0.68372915380826804"/>
          <c:y val="0.3571626139099030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00"/>
          </a:solidFill>
          <a:ln>
            <a:noFill/>
          </a:ln>
          <a:effectLst/>
          <a:scene3d>
            <a:camera prst="orthographicFront"/>
            <a:lightRig rig="threePt" dir="t"/>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FF00"/>
          </a:solidFill>
          <a:ln>
            <a:solidFill>
              <a:schemeClr val="bg1"/>
            </a:solidFill>
          </a:ln>
          <a:effectLst/>
          <a:scene3d>
            <a:camera prst="orthographicFront"/>
            <a:lightRig rig="threePt" dir="t"/>
          </a:scene3d>
          <a:sp3d prstMaterial="powder">
            <a:bevelT w="127000" h="133350"/>
            <a:bevelB w="127000" h="127000"/>
            <a:contourClr>
              <a:schemeClr val="bg1"/>
            </a:contourClr>
          </a:sp3d>
        </c:spPr>
        <c:dLbl>
          <c:idx val="0"/>
          <c:layout>
            <c:manualLayout>
              <c:x val="4.7505938242280284E-2"/>
              <c:y val="-2.7474047223838734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a:scene3d>
            <a:camera prst="orthographicFront"/>
            <a:lightRig rig="threePt" dir="t"/>
          </a:scene3d>
          <a:sp3d prstMaterial="powder"/>
        </c:spPr>
        <c:dLbl>
          <c:idx val="0"/>
          <c:layout>
            <c:manualLayout>
              <c:x val="-0.15424164524421594"/>
              <c:y val="3.13989111129585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5424164524421594"/>
              <c:y val="3.13989111129585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8.1707470651679229E-2"/>
          <c:y val="2.3451216259691245E-2"/>
          <c:w val="0.90924545358196018"/>
          <c:h val="0.82650177338560527"/>
        </c:manualLayout>
      </c:layout>
      <c:bar3DChart>
        <c:barDir val="col"/>
        <c:grouping val="standard"/>
        <c:varyColors val="0"/>
        <c:ser>
          <c:idx val="0"/>
          <c:order val="0"/>
          <c:tx>
            <c:strRef>
              <c:f>SLICER!$B$3</c:f>
              <c:strCache>
                <c:ptCount val="1"/>
                <c:pt idx="0">
                  <c:v>Total</c:v>
                </c:pt>
              </c:strCache>
            </c:strRef>
          </c:tx>
          <c:spPr>
            <a:solidFill>
              <a:srgbClr val="00FF00"/>
            </a:solidFill>
            <a:ln>
              <a:noFill/>
            </a:ln>
            <a:effectLst/>
            <a:scene3d>
              <a:camera prst="orthographicFront"/>
              <a:lightRig rig="threePt" dir="t"/>
            </a:scene3d>
            <a:sp3d prstMaterial="powder"/>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SLICER!$A$4:$A$5</c:f>
              <c:strCache>
                <c:ptCount val="1"/>
                <c:pt idx="0">
                  <c:v>Ammonia_Dosage_Kg</c:v>
                </c:pt>
              </c:strCache>
            </c:strRef>
          </c:cat>
          <c:val>
            <c:numRef>
              <c:f>SLICER!$B$4:$B$5</c:f>
              <c:numCache>
                <c:formatCode>0.0</c:formatCode>
                <c:ptCount val="1"/>
                <c:pt idx="0">
                  <c:v>11.799999999999995</c:v>
                </c:pt>
              </c:numCache>
            </c:numRef>
          </c:val>
          <c:shape val="cylinder"/>
          <c:extLst>
            <c:ext xmlns:c16="http://schemas.microsoft.com/office/drawing/2014/chart" uri="{C3380CC4-5D6E-409C-BE32-E72D297353CC}">
              <c16:uniqueId val="{00000000-EE77-4EC4-AE71-98C2973B6529}"/>
            </c:ext>
          </c:extLst>
        </c:ser>
        <c:dLbls>
          <c:showLegendKey val="0"/>
          <c:showVal val="1"/>
          <c:showCatName val="0"/>
          <c:showSerName val="0"/>
          <c:showPercent val="0"/>
          <c:showBubbleSize val="0"/>
        </c:dLbls>
        <c:gapWidth val="336"/>
        <c:gapDepth val="120"/>
        <c:shape val="box"/>
        <c:axId val="80710752"/>
        <c:axId val="80722816"/>
        <c:axId val="1097642768"/>
      </c:bar3DChart>
      <c:catAx>
        <c:axId val="8071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80722816"/>
        <c:crosses val="autoZero"/>
        <c:auto val="1"/>
        <c:lblAlgn val="ctr"/>
        <c:lblOffset val="100"/>
        <c:noMultiLvlLbl val="0"/>
      </c:catAx>
      <c:valAx>
        <c:axId val="80722816"/>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80710752"/>
        <c:crosses val="autoZero"/>
        <c:crossBetween val="between"/>
      </c:valAx>
      <c:serAx>
        <c:axId val="1097642768"/>
        <c:scaling>
          <c:orientation val="minMax"/>
        </c:scaling>
        <c:delete val="1"/>
        <c:axPos val="b"/>
        <c:majorTickMark val="out"/>
        <c:minorTickMark val="none"/>
        <c:tickLblPos val="nextTo"/>
        <c:crossAx val="80722816"/>
        <c:crosses val="autoZero"/>
      </c:ser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15874</xdr:rowOff>
    </xdr:from>
    <xdr:to>
      <xdr:col>12</xdr:col>
      <xdr:colOff>590204</xdr:colOff>
      <xdr:row>22</xdr:row>
      <xdr:rowOff>53974</xdr:rowOff>
    </xdr:to>
    <xdr:graphicFrame macro="">
      <xdr:nvGraphicFramePr>
        <xdr:cNvPr id="2" name="Chart 1">
          <a:extLst>
            <a:ext uri="{FF2B5EF4-FFF2-40B4-BE49-F238E27FC236}">
              <a16:creationId xmlns:a16="http://schemas.microsoft.com/office/drawing/2014/main" id="{FF1C502D-DE7A-4366-A171-4C35A4125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101598</xdr:rowOff>
    </xdr:from>
    <xdr:to>
      <xdr:col>12</xdr:col>
      <xdr:colOff>590204</xdr:colOff>
      <xdr:row>41</xdr:row>
      <xdr:rowOff>139698</xdr:rowOff>
    </xdr:to>
    <xdr:graphicFrame macro="">
      <xdr:nvGraphicFramePr>
        <xdr:cNvPr id="4" name="Chart 2">
          <a:extLst>
            <a:ext uri="{FF2B5EF4-FFF2-40B4-BE49-F238E27FC236}">
              <a16:creationId xmlns:a16="http://schemas.microsoft.com/office/drawing/2014/main" id="{B5916DC7-A1FF-4C27-A94E-60DC5A3B6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15932</xdr:colOff>
      <xdr:row>3</xdr:row>
      <xdr:rowOff>34636</xdr:rowOff>
    </xdr:from>
    <xdr:to>
      <xdr:col>26</xdr:col>
      <xdr:colOff>0</xdr:colOff>
      <xdr:row>22</xdr:row>
      <xdr:rowOff>72736</xdr:rowOff>
    </xdr:to>
    <xdr:graphicFrame macro="">
      <xdr:nvGraphicFramePr>
        <xdr:cNvPr id="5" name="Chart 1">
          <a:extLst>
            <a:ext uri="{FF2B5EF4-FFF2-40B4-BE49-F238E27FC236}">
              <a16:creationId xmlns:a16="http://schemas.microsoft.com/office/drawing/2014/main" id="{249814A2-2C2C-4D66-95E7-F6F680AF5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15932</xdr:colOff>
      <xdr:row>22</xdr:row>
      <xdr:rowOff>101598</xdr:rowOff>
    </xdr:from>
    <xdr:to>
      <xdr:col>26</xdr:col>
      <xdr:colOff>0</xdr:colOff>
      <xdr:row>41</xdr:row>
      <xdr:rowOff>139698</xdr:rowOff>
    </xdr:to>
    <xdr:graphicFrame macro="">
      <xdr:nvGraphicFramePr>
        <xdr:cNvPr id="6" name="Chart 1">
          <a:extLst>
            <a:ext uri="{FF2B5EF4-FFF2-40B4-BE49-F238E27FC236}">
              <a16:creationId xmlns:a16="http://schemas.microsoft.com/office/drawing/2014/main" id="{F26BD819-1E87-4CF9-9E81-ED163194C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61</xdr:row>
      <xdr:rowOff>14844</xdr:rowOff>
    </xdr:from>
    <xdr:to>
      <xdr:col>26</xdr:col>
      <xdr:colOff>0</xdr:colOff>
      <xdr:row>80</xdr:row>
      <xdr:rowOff>0</xdr:rowOff>
    </xdr:to>
    <xdr:graphicFrame macro="">
      <xdr:nvGraphicFramePr>
        <xdr:cNvPr id="7" name="Chart 5">
          <a:extLst>
            <a:ext uri="{FF2B5EF4-FFF2-40B4-BE49-F238E27FC236}">
              <a16:creationId xmlns:a16="http://schemas.microsoft.com/office/drawing/2014/main" id="{093DB2C3-1988-46F3-90B1-99B6C17C9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41</xdr:row>
      <xdr:rowOff>152400</xdr:rowOff>
    </xdr:from>
    <xdr:to>
      <xdr:col>26</xdr:col>
      <xdr:colOff>0</xdr:colOff>
      <xdr:row>61</xdr:row>
      <xdr:rowOff>0</xdr:rowOff>
    </xdr:to>
    <xdr:graphicFrame macro="">
      <xdr:nvGraphicFramePr>
        <xdr:cNvPr id="8" name="Chart 1">
          <a:extLst>
            <a:ext uri="{FF2B5EF4-FFF2-40B4-BE49-F238E27FC236}">
              <a16:creationId xmlns:a16="http://schemas.microsoft.com/office/drawing/2014/main" id="{B11F54D9-B90B-44DB-985F-7753EA7A6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31865</xdr:colOff>
      <xdr:row>42</xdr:row>
      <xdr:rowOff>15874</xdr:rowOff>
    </xdr:from>
    <xdr:to>
      <xdr:col>13</xdr:col>
      <xdr:colOff>15932</xdr:colOff>
      <xdr:row>61</xdr:row>
      <xdr:rowOff>53974</xdr:rowOff>
    </xdr:to>
    <xdr:graphicFrame macro="">
      <xdr:nvGraphicFramePr>
        <xdr:cNvPr id="9" name="Chart 8">
          <a:extLst>
            <a:ext uri="{FF2B5EF4-FFF2-40B4-BE49-F238E27FC236}">
              <a16:creationId xmlns:a16="http://schemas.microsoft.com/office/drawing/2014/main" id="{BE1510EF-B7FD-4512-9813-91DC2549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31865</xdr:colOff>
      <xdr:row>61</xdr:row>
      <xdr:rowOff>69273</xdr:rowOff>
    </xdr:from>
    <xdr:to>
      <xdr:col>12</xdr:col>
      <xdr:colOff>571500</xdr:colOff>
      <xdr:row>80</xdr:row>
      <xdr:rowOff>0</xdr:rowOff>
    </xdr:to>
    <mc:AlternateContent xmlns:mc="http://schemas.openxmlformats.org/markup-compatibility/2006" xmlns:a14="http://schemas.microsoft.com/office/drawing/2010/main">
      <mc:Choice Requires="a14">
        <xdr:graphicFrame macro="">
          <xdr:nvGraphicFramePr>
            <xdr:cNvPr id="11" name="Variables 1">
              <a:extLst>
                <a:ext uri="{FF2B5EF4-FFF2-40B4-BE49-F238E27FC236}">
                  <a16:creationId xmlns:a16="http://schemas.microsoft.com/office/drawing/2014/main" id="{A1DC1F4E-F4F2-4A75-98B5-CCB0B3A5AF2D}"/>
                </a:ext>
              </a:extLst>
            </xdr:cNvPr>
            <xdr:cNvGraphicFramePr/>
          </xdr:nvGraphicFramePr>
          <xdr:xfrm>
            <a:off x="0" y="0"/>
            <a:ext cx="0" cy="0"/>
          </xdr:xfrm>
          <a:graphic>
            <a:graphicData uri="http://schemas.microsoft.com/office/drawing/2010/slicer">
              <sle:slicer xmlns:sle="http://schemas.microsoft.com/office/drawing/2010/slicer" name="Variables 1"/>
            </a:graphicData>
          </a:graphic>
        </xdr:graphicFrame>
      </mc:Choice>
      <mc:Fallback xmlns="">
        <xdr:sp macro="" textlink="">
          <xdr:nvSpPr>
            <xdr:cNvPr id="0" name=""/>
            <xdr:cNvSpPr>
              <a:spLocks noTextEdit="1"/>
            </xdr:cNvSpPr>
          </xdr:nvSpPr>
          <xdr:spPr>
            <a:xfrm>
              <a:off x="31865" y="11705648"/>
              <a:ext cx="7778635" cy="3550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598715</xdr:colOff>
      <xdr:row>41</xdr:row>
      <xdr:rowOff>139698</xdr:rowOff>
    </xdr:from>
    <xdr:to>
      <xdr:col>18</xdr:col>
      <xdr:colOff>598714</xdr:colOff>
      <xdr:row>79</xdr:row>
      <xdr:rowOff>163285</xdr:rowOff>
    </xdr:to>
    <xdr:graphicFrame macro="">
      <xdr:nvGraphicFramePr>
        <xdr:cNvPr id="12" name="Chart 11">
          <a:extLst>
            <a:ext uri="{FF2B5EF4-FFF2-40B4-BE49-F238E27FC236}">
              <a16:creationId xmlns:a16="http://schemas.microsoft.com/office/drawing/2014/main" id="{FA870DBA-607F-4D94-BFD8-4931BB359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0</xdr:colOff>
      <xdr:row>5</xdr:row>
      <xdr:rowOff>0</xdr:rowOff>
    </xdr:from>
    <xdr:ext cx="184731" cy="264560"/>
    <xdr:sp macro="" textlink="">
      <xdr:nvSpPr>
        <xdr:cNvPr id="13" name="TextBox 12">
          <a:extLst>
            <a:ext uri="{FF2B5EF4-FFF2-40B4-BE49-F238E27FC236}">
              <a16:creationId xmlns:a16="http://schemas.microsoft.com/office/drawing/2014/main" id="{BF84A19A-4864-4C1B-B1AC-255C61B2CE39}"/>
            </a:ext>
          </a:extLst>
        </xdr:cNvPr>
        <xdr:cNvSpPr txBox="1"/>
      </xdr:nvSpPr>
      <xdr:spPr>
        <a:xfrm>
          <a:off x="3673929" y="9661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5</xdr:row>
      <xdr:rowOff>0</xdr:rowOff>
    </xdr:from>
    <xdr:ext cx="184731" cy="264560"/>
    <xdr:sp macro="" textlink="">
      <xdr:nvSpPr>
        <xdr:cNvPr id="14" name="TextBox 13">
          <a:extLst>
            <a:ext uri="{FF2B5EF4-FFF2-40B4-BE49-F238E27FC236}">
              <a16:creationId xmlns:a16="http://schemas.microsoft.com/office/drawing/2014/main" id="{8158267E-27F4-475D-BA0A-8F18D0156435}"/>
            </a:ext>
          </a:extLst>
        </xdr:cNvPr>
        <xdr:cNvSpPr txBox="1"/>
      </xdr:nvSpPr>
      <xdr:spPr>
        <a:xfrm>
          <a:off x="3673929" y="9661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31865</xdr:colOff>
      <xdr:row>0</xdr:row>
      <xdr:rowOff>0</xdr:rowOff>
    </xdr:from>
    <xdr:to>
      <xdr:col>26</xdr:col>
      <xdr:colOff>0</xdr:colOff>
      <xdr:row>3</xdr:row>
      <xdr:rowOff>0</xdr:rowOff>
    </xdr:to>
    <xdr:sp macro="" textlink="">
      <xdr:nvSpPr>
        <xdr:cNvPr id="15" name="Rectangle 14">
          <a:extLst>
            <a:ext uri="{FF2B5EF4-FFF2-40B4-BE49-F238E27FC236}">
              <a16:creationId xmlns:a16="http://schemas.microsoft.com/office/drawing/2014/main" id="{5AFF0D3B-2411-4EF1-8C07-0072C9F80697}"/>
            </a:ext>
          </a:extLst>
        </xdr:cNvPr>
        <xdr:cNvSpPr/>
      </xdr:nvSpPr>
      <xdr:spPr>
        <a:xfrm>
          <a:off x="31865" y="0"/>
          <a:ext cx="15888492" cy="58510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0</xdr:colOff>
      <xdr:row>0</xdr:row>
      <xdr:rowOff>0</xdr:rowOff>
    </xdr:from>
    <xdr:to>
      <xdr:col>26</xdr:col>
      <xdr:colOff>0</xdr:colOff>
      <xdr:row>3</xdr:row>
      <xdr:rowOff>0</xdr:rowOff>
    </xdr:to>
    <xdr:sp macro="" textlink="">
      <xdr:nvSpPr>
        <xdr:cNvPr id="12289" name="Text Box 1">
          <a:extLst>
            <a:ext uri="{FF2B5EF4-FFF2-40B4-BE49-F238E27FC236}">
              <a16:creationId xmlns:a16="http://schemas.microsoft.com/office/drawing/2014/main" id="{7D2976A4-EF3F-47C8-BA02-1BF94FD68AE9}"/>
            </a:ext>
          </a:extLst>
        </xdr:cNvPr>
        <xdr:cNvSpPr txBox="1">
          <a:spLocks noChangeArrowheads="1"/>
        </xdr:cNvSpPr>
      </xdr:nvSpPr>
      <xdr:spPr bwMode="auto">
        <a:xfrm>
          <a:off x="0" y="0"/>
          <a:ext cx="15920357" cy="585107"/>
        </a:xfrm>
        <a:prstGeom prst="rect">
          <a:avLst/>
        </a:prstGeom>
        <a:solidFill>
          <a:schemeClr val="tx1"/>
        </a:solidFill>
        <a:ln>
          <a:headEnd/>
          <a:tailEnd/>
        </a:ln>
      </xdr:spPr>
      <xdr:style>
        <a:lnRef idx="2">
          <a:schemeClr val="accent2"/>
        </a:lnRef>
        <a:fillRef idx="1">
          <a:schemeClr val="lt1"/>
        </a:fillRef>
        <a:effectRef idx="0">
          <a:schemeClr val="accent2"/>
        </a:effectRef>
        <a:fontRef idx="minor">
          <a:schemeClr val="dk1"/>
        </a:fontRef>
      </xdr:style>
      <xdr:txBody>
        <a:bodyPr vertOverflow="clip" wrap="square" lIns="27432" tIns="18288" rIns="0" bIns="0" anchor="ctr" upright="1"/>
        <a:lstStyle/>
        <a:p>
          <a:pPr algn="ctr" rtl="0">
            <a:defRPr sz="1000"/>
          </a:pPr>
          <a:r>
            <a:rPr lang="en-US" sz="2400" b="1" i="0" u="none" strike="noStrike" baseline="0">
              <a:solidFill>
                <a:srgbClr val="FFFF00"/>
              </a:solidFill>
              <a:latin typeface="Arial Black" panose="020B0A04020102020204" pitchFamily="34" charset="0"/>
              <a:cs typeface="Calibri"/>
            </a:rPr>
            <a:t>Data Analysis for Chemical Water Treatment for High-Pressure Boilers in Power Plants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65111</xdr:rowOff>
    </xdr:from>
    <xdr:to>
      <xdr:col>21</xdr:col>
      <xdr:colOff>139657</xdr:colOff>
      <xdr:row>42</xdr:row>
      <xdr:rowOff>167327</xdr:rowOff>
    </xdr:to>
    <xdr:graphicFrame macro="">
      <xdr:nvGraphicFramePr>
        <xdr:cNvPr id="8" name="Chart 7">
          <a:extLst>
            <a:ext uri="{FF2B5EF4-FFF2-40B4-BE49-F238E27FC236}">
              <a16:creationId xmlns:a16="http://schemas.microsoft.com/office/drawing/2014/main" id="{124166F5-C9ED-461D-B3CA-F31A25F62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145674</xdr:colOff>
      <xdr:row>0</xdr:row>
      <xdr:rowOff>30147</xdr:rowOff>
    </xdr:from>
    <xdr:to>
      <xdr:col>42</xdr:col>
      <xdr:colOff>285331</xdr:colOff>
      <xdr:row>42</xdr:row>
      <xdr:rowOff>132363</xdr:rowOff>
    </xdr:to>
    <xdr:graphicFrame macro="">
      <xdr:nvGraphicFramePr>
        <xdr:cNvPr id="9" name="Chart 1">
          <a:extLst>
            <a:ext uri="{FF2B5EF4-FFF2-40B4-BE49-F238E27FC236}">
              <a16:creationId xmlns:a16="http://schemas.microsoft.com/office/drawing/2014/main" id="{D1E0DE7B-4BD4-43A2-AF20-06724EC94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55561</xdr:rowOff>
    </xdr:from>
    <xdr:to>
      <xdr:col>21</xdr:col>
      <xdr:colOff>139657</xdr:colOff>
      <xdr:row>85</xdr:row>
      <xdr:rowOff>157777</xdr:rowOff>
    </xdr:to>
    <xdr:graphicFrame macro="">
      <xdr:nvGraphicFramePr>
        <xdr:cNvPr id="10" name="Chart 2">
          <a:extLst>
            <a:ext uri="{FF2B5EF4-FFF2-40B4-BE49-F238E27FC236}">
              <a16:creationId xmlns:a16="http://schemas.microsoft.com/office/drawing/2014/main" id="{D097AB74-9E2F-4D04-9E75-89FFC2C57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207098</xdr:colOff>
      <xdr:row>43</xdr:row>
      <xdr:rowOff>62163</xdr:rowOff>
    </xdr:from>
    <xdr:to>
      <xdr:col>42</xdr:col>
      <xdr:colOff>346755</xdr:colOff>
      <xdr:row>85</xdr:row>
      <xdr:rowOff>164379</xdr:rowOff>
    </xdr:to>
    <xdr:graphicFrame macro="">
      <xdr:nvGraphicFramePr>
        <xdr:cNvPr id="11" name="Chart 1">
          <a:extLst>
            <a:ext uri="{FF2B5EF4-FFF2-40B4-BE49-F238E27FC236}">
              <a16:creationId xmlns:a16="http://schemas.microsoft.com/office/drawing/2014/main" id="{270FE6BB-270B-4A8C-97AD-D1650C04C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459214</xdr:colOff>
      <xdr:row>43</xdr:row>
      <xdr:rowOff>13609</xdr:rowOff>
    </xdr:from>
    <xdr:to>
      <xdr:col>50</xdr:col>
      <xdr:colOff>547182</xdr:colOff>
      <xdr:row>65</xdr:row>
      <xdr:rowOff>54429</xdr:rowOff>
    </xdr:to>
    <xdr:graphicFrame macro="">
      <xdr:nvGraphicFramePr>
        <xdr:cNvPr id="12" name="Chart 5">
          <a:extLst>
            <a:ext uri="{FF2B5EF4-FFF2-40B4-BE49-F238E27FC236}">
              <a16:creationId xmlns:a16="http://schemas.microsoft.com/office/drawing/2014/main" id="{E634B9C2-2AE0-44EC-AEAC-680E777B3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384612</xdr:colOff>
      <xdr:row>0</xdr:row>
      <xdr:rowOff>0</xdr:rowOff>
    </xdr:from>
    <xdr:to>
      <xdr:col>63</xdr:col>
      <xdr:colOff>524269</xdr:colOff>
      <xdr:row>42</xdr:row>
      <xdr:rowOff>102216</xdr:rowOff>
    </xdr:to>
    <xdr:graphicFrame macro="">
      <xdr:nvGraphicFramePr>
        <xdr:cNvPr id="2" name="Chart 1">
          <a:extLst>
            <a:ext uri="{FF2B5EF4-FFF2-40B4-BE49-F238E27FC236}">
              <a16:creationId xmlns:a16="http://schemas.microsoft.com/office/drawing/2014/main" id="{D6310E84-121E-400A-82BC-A19C57A61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551561</xdr:colOff>
      <xdr:row>43</xdr:row>
      <xdr:rowOff>14213</xdr:rowOff>
    </xdr:from>
    <xdr:to>
      <xdr:col>64</xdr:col>
      <xdr:colOff>0</xdr:colOff>
      <xdr:row>85</xdr:row>
      <xdr:rowOff>116429</xdr:rowOff>
    </xdr:to>
    <xdr:graphicFrame macro="">
      <xdr:nvGraphicFramePr>
        <xdr:cNvPr id="3" name="Chart 3">
          <a:extLst>
            <a:ext uri="{FF2B5EF4-FFF2-40B4-BE49-F238E27FC236}">
              <a16:creationId xmlns:a16="http://schemas.microsoft.com/office/drawing/2014/main" id="{53C88418-5712-434A-B261-E700F9C38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374198</xdr:colOff>
      <xdr:row>65</xdr:row>
      <xdr:rowOff>54429</xdr:rowOff>
    </xdr:from>
    <xdr:to>
      <xdr:col>50</xdr:col>
      <xdr:colOff>530681</xdr:colOff>
      <xdr:row>85</xdr:row>
      <xdr:rowOff>149679</xdr:rowOff>
    </xdr:to>
    <xdr:graphicFrame macro="">
      <xdr:nvGraphicFramePr>
        <xdr:cNvPr id="4" name="Chart 1">
          <a:extLst>
            <a:ext uri="{FF2B5EF4-FFF2-40B4-BE49-F238E27FC236}">
              <a16:creationId xmlns:a16="http://schemas.microsoft.com/office/drawing/2014/main" id="{D1ADAB90-8C22-493C-B45E-9B4E6B7AB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390525</xdr:colOff>
      <xdr:row>12</xdr:row>
      <xdr:rowOff>133350</xdr:rowOff>
    </xdr:from>
    <xdr:to>
      <xdr:col>4</xdr:col>
      <xdr:colOff>1304925</xdr:colOff>
      <xdr:row>17</xdr:row>
      <xdr:rowOff>95250</xdr:rowOff>
    </xdr:to>
    <xdr:sp macro="" textlink="">
      <xdr:nvSpPr>
        <xdr:cNvPr id="18" name="Oval 17" hidden="1">
          <a:extLst>
            <a:ext uri="{FF2B5EF4-FFF2-40B4-BE49-F238E27FC236}">
              <a16:creationId xmlns:a16="http://schemas.microsoft.com/office/drawing/2014/main" id="{8AD2DAF6-0A75-4019-82F2-24F3B4A79AA2}"/>
            </a:ext>
          </a:extLst>
        </xdr:cNvPr>
        <xdr:cNvSpPr/>
      </xdr:nvSpPr>
      <xdr:spPr>
        <a:xfrm>
          <a:off x="8658225" y="2419350"/>
          <a:ext cx="914400" cy="9144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523875</xdr:colOff>
      <xdr:row>8</xdr:row>
      <xdr:rowOff>76200</xdr:rowOff>
    </xdr:from>
    <xdr:to>
      <xdr:col>8</xdr:col>
      <xdr:colOff>47625</xdr:colOff>
      <xdr:row>24</xdr:row>
      <xdr:rowOff>0</xdr:rowOff>
    </xdr:to>
    <xdr:graphicFrame macro="">
      <xdr:nvGraphicFramePr>
        <xdr:cNvPr id="4" name="Chart 3">
          <a:extLst>
            <a:ext uri="{FF2B5EF4-FFF2-40B4-BE49-F238E27FC236}">
              <a16:creationId xmlns:a16="http://schemas.microsoft.com/office/drawing/2014/main" id="{2087EBC2-D61F-482F-BCB6-D5D003E02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14</xdr:row>
      <xdr:rowOff>171450</xdr:rowOff>
    </xdr:from>
    <xdr:to>
      <xdr:col>24</xdr:col>
      <xdr:colOff>190500</xdr:colOff>
      <xdr:row>26</xdr:row>
      <xdr:rowOff>0</xdr:rowOff>
    </xdr:to>
    <mc:AlternateContent xmlns:mc="http://schemas.openxmlformats.org/markup-compatibility/2006" xmlns:a14="http://schemas.microsoft.com/office/drawing/2010/main">
      <mc:Choice Requires="a14">
        <xdr:graphicFrame macro="">
          <xdr:nvGraphicFramePr>
            <xdr:cNvPr id="7" name="Variables">
              <a:extLst>
                <a:ext uri="{FF2B5EF4-FFF2-40B4-BE49-F238E27FC236}">
                  <a16:creationId xmlns:a16="http://schemas.microsoft.com/office/drawing/2014/main" id="{63C685C4-51B7-48EA-A4EA-0A45174A83F6}"/>
                </a:ext>
              </a:extLst>
            </xdr:cNvPr>
            <xdr:cNvGraphicFramePr/>
          </xdr:nvGraphicFramePr>
          <xdr:xfrm>
            <a:off x="0" y="0"/>
            <a:ext cx="0" cy="0"/>
          </xdr:xfrm>
          <a:graphic>
            <a:graphicData uri="http://schemas.microsoft.com/office/drawing/2010/slicer">
              <sle:slicer xmlns:sle="http://schemas.microsoft.com/office/drawing/2010/slicer" name="Variables"/>
            </a:graphicData>
          </a:graphic>
        </xdr:graphicFrame>
      </mc:Choice>
      <mc:Fallback xmlns="">
        <xdr:sp macro="" textlink="">
          <xdr:nvSpPr>
            <xdr:cNvPr id="0" name=""/>
            <xdr:cNvSpPr>
              <a:spLocks noTextEdit="1"/>
            </xdr:cNvSpPr>
          </xdr:nvSpPr>
          <xdr:spPr>
            <a:xfrm>
              <a:off x="4191000" y="2838450"/>
              <a:ext cx="5886450" cy="211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95250</xdr:colOff>
      <xdr:row>1</xdr:row>
      <xdr:rowOff>50345</xdr:rowOff>
    </xdr:from>
    <xdr:to>
      <xdr:col>22</xdr:col>
      <xdr:colOff>0</xdr:colOff>
      <xdr:row>14</xdr:row>
      <xdr:rowOff>85089</xdr:rowOff>
    </xdr:to>
    <xdr:graphicFrame macro="">
      <xdr:nvGraphicFramePr>
        <xdr:cNvPr id="10" name="Chart 9">
          <a:extLst>
            <a:ext uri="{FF2B5EF4-FFF2-40B4-BE49-F238E27FC236}">
              <a16:creationId xmlns:a16="http://schemas.microsoft.com/office/drawing/2014/main" id="{46CE1FF5-653D-4795-BA7F-3C98E5BD1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 Store" refreshedDate="45990.766488194444" createdVersion="7" refreshedVersion="7" minRefreshableVersion="3" recordCount="71" xr:uid="{30D642AD-649E-4E6D-AE4E-44BC14E63A5F}">
  <cacheSource type="worksheet">
    <worksheetSource name="Table1"/>
  </cacheSource>
  <cacheFields count="18">
    <cacheField name="Date" numFmtId="165">
      <sharedItems containsSemiMixedTypes="0" containsNonDate="0" containsDate="1" containsString="0" minDate="2024-01-05T00:00:00" maxDate="2024-12-31T00:00:00" count="71">
        <d v="2024-01-05T00:00:00"/>
        <d v="2024-01-10T00:00:00"/>
        <d v="2024-01-15T00:00:00"/>
        <d v="2024-01-20T00:00:00"/>
        <d v="2024-01-25T00:00:00"/>
        <d v="2024-01-30T00:00:00"/>
        <d v="2024-02-05T00:00:00"/>
        <d v="2024-02-10T00:00:00"/>
        <d v="2024-02-15T00:00:00"/>
        <d v="2024-02-20T00:00:00"/>
        <d v="2024-02-25T00:00:00"/>
        <d v="2024-03-01T00:00:00"/>
        <d v="2024-03-10T00:00:00"/>
        <d v="2024-03-15T00:00:00"/>
        <d v="2024-03-25T00:00:00"/>
        <d v="2024-03-21T00:00:00"/>
        <d v="2024-03-30T00:00:00"/>
        <d v="2024-04-05T00:00:00"/>
        <d v="2024-04-10T00:00:00"/>
        <d v="2024-04-15T00:00:00"/>
        <d v="2024-04-20T00:00:00"/>
        <d v="2024-04-25T00:00:00"/>
        <d v="2024-04-30T00:00:00"/>
        <d v="2024-05-05T00:00:00"/>
        <d v="2024-05-10T00:00:00"/>
        <d v="2024-05-15T00:00:00"/>
        <d v="2024-05-20T00:00:00"/>
        <d v="2024-05-25T00:00:00"/>
        <d v="2024-05-30T00:00:00"/>
        <d v="2024-06-05T00:00:00"/>
        <d v="2024-06-10T00:00:00"/>
        <d v="2024-06-15T00:00:00"/>
        <d v="2024-06-20T00:00:00"/>
        <d v="2024-06-25T00:00:00"/>
        <d v="2024-06-30T00:00:00"/>
        <d v="2024-07-05T00:00:00"/>
        <d v="2024-07-10T00:00:00"/>
        <d v="2024-07-15T00:00:00"/>
        <d v="2024-07-20T00:00:00"/>
        <d v="2024-07-25T00:00:00"/>
        <d v="2024-07-30T00:00:00"/>
        <d v="2024-08-05T00:00:00"/>
        <d v="2024-08-10T00:00:00"/>
        <d v="2024-08-15T00:00:00"/>
        <d v="2024-08-20T00:00:00"/>
        <d v="2024-08-25T00:00:00"/>
        <d v="2024-08-30T00:00:00"/>
        <d v="2024-09-05T00:00:00"/>
        <d v="2024-09-10T00:00:00"/>
        <d v="2024-09-15T00:00:00"/>
        <d v="2024-09-20T00:00:00"/>
        <d v="2024-09-25T00:00:00"/>
        <d v="2024-09-30T00:00:00"/>
        <d v="2024-10-05T00:00:00"/>
        <d v="2024-10-10T00:00:00"/>
        <d v="2024-10-15T00:00:00"/>
        <d v="2024-10-20T00:00:00"/>
        <d v="2024-10-25T00:00:00"/>
        <d v="2024-10-30T00:00:00"/>
        <d v="2024-11-05T00:00:00"/>
        <d v="2024-11-10T00:00:00"/>
        <d v="2024-11-15T00:00:00"/>
        <d v="2024-11-20T00:00:00"/>
        <d v="2024-11-25T00:00:00"/>
        <d v="2024-11-30T00:00:00"/>
        <d v="2024-12-05T00:00:00"/>
        <d v="2024-12-10T00:00:00"/>
        <d v="2024-12-15T00:00:00"/>
        <d v="2024-12-20T00:00:00"/>
        <d v="2024-12-25T00:00:00"/>
        <d v="2024-12-30T00:00:00"/>
      </sharedItems>
      <fieldGroup par="17" base="0">
        <rangePr groupBy="days" startDate="2024-01-05T00:00:00" endDate="2024-12-31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Load_MW Load" numFmtId="0">
      <sharedItems containsSemiMixedTypes="0" containsString="0" containsNumber="1" containsInteger="1" minValue="465" maxValue="537" count="17">
        <n v="480"/>
        <n v="490"/>
        <n v="470"/>
        <n v="500"/>
        <n v="510"/>
        <n v="495"/>
        <n v="505"/>
        <n v="485"/>
        <n v="515"/>
        <n v="527"/>
        <n v="525"/>
        <n v="517"/>
        <n v="475"/>
        <n v="487"/>
        <n v="537"/>
        <n v="465"/>
        <n v="497"/>
      </sharedItems>
    </cacheField>
    <cacheField name="Ignition Type" numFmtId="0">
      <sharedItems count="2">
        <s v="gas"/>
        <s v="Diesel"/>
      </sharedItems>
    </cacheField>
    <cacheField name="Ammonia Kg_Day" numFmtId="0">
      <sharedItems containsSemiMixedTypes="0" containsString="0" containsNumber="1" minValue="9" maxValue="14"/>
    </cacheField>
    <cacheField name="Hydrazine Kg_Day" numFmtId="0">
      <sharedItems containsSemiMixedTypes="0" containsString="0" containsNumber="1" minValue="1.5" maxValue="15"/>
    </cacheField>
    <cacheField name="DEHA Kg_Day" numFmtId="2">
      <sharedItems containsSemiMixedTypes="0" containsString="0" containsNumber="1" containsInteger="1" minValue="0" maxValue="17"/>
    </cacheField>
    <cacheField name="Phosphate_Dosage_x000a_Kg_Day" numFmtId="2">
      <sharedItems containsSemiMixedTypes="0" containsString="0" containsNumber="1" minValue="2.5" maxValue="4.3"/>
    </cacheField>
    <cacheField name="Condensate Ph" numFmtId="0">
      <sharedItems containsSemiMixedTypes="0" containsString="0" containsNumber="1" minValue="8.1" maxValue="9.6999999999999993"/>
    </cacheField>
    <cacheField name="Condensate Cond" numFmtId="0">
      <sharedItems containsSemiMixedTypes="0" containsString="0" containsNumber="1" minValue="3.3" maxValue="4.7"/>
    </cacheField>
    <cacheField name="Condensate Do" numFmtId="0">
      <sharedItems containsSemiMixedTypes="0" containsString="0" containsNumber="1" minValue="3.5" maxValue="9.8000000000000007"/>
    </cacheField>
    <cacheField name="Boiler_x000a_Ph" numFmtId="0">
      <sharedItems containsSemiMixedTypes="0" containsString="0" containsNumber="1" minValue="8" maxValue="9.9"/>
    </cacheField>
    <cacheField name="Boiler_x000a_Cond" numFmtId="0">
      <sharedItems containsSemiMixedTypes="0" containsString="0" containsNumber="1" minValue="6.7" maxValue="16.8"/>
    </cacheField>
    <cacheField name="Boiler_x000a_Po4" numFmtId="0">
      <sharedItems containsSemiMixedTypes="0" containsString="0" containsNumber="1" minValue="2.7" maxValue="6"/>
    </cacheField>
    <cacheField name="Boiler_x000a_Fe" numFmtId="0">
      <sharedItems containsSemiMixedTypes="0" containsString="0" containsNumber="1" minValue="1.1000000000000001" maxValue="7.9"/>
    </cacheField>
    <cacheField name="Main Steam  Ph" numFmtId="0">
      <sharedItems containsSemiMixedTypes="0" containsString="0" containsNumber="1" minValue="8.6999999999999993" maxValue="9.6999999999999993"/>
    </cacheField>
    <cacheField name="Main Steam Cond" numFmtId="0">
      <sharedItems containsSemiMixedTypes="0" containsString="0" containsNumber="1" minValue="4.5" maxValue="9.5"/>
    </cacheField>
    <cacheField name="Main Steam Fe" numFmtId="0">
      <sharedItems containsSemiMixedTypes="0" containsString="0" containsNumber="1" minValue="0.4" maxValue="7.8"/>
    </cacheField>
    <cacheField name="Months" numFmtId="0" databaseField="0">
      <fieldGroup base="0">
        <rangePr groupBy="months" startDate="2024-01-05T00:00:00" endDate="2024-12-31T00:00:00"/>
        <groupItems count="14">
          <s v="&lt;1/5/2024"/>
          <s v="Jan"/>
          <s v="Feb"/>
          <s v="Mar"/>
          <s v="Apr"/>
          <s v="May"/>
          <s v="Jun"/>
          <s v="Jul"/>
          <s v="Aug"/>
          <s v="Sep"/>
          <s v="Oct"/>
          <s v="Nov"/>
          <s v="Dec"/>
          <s v="&gt;12/3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Store" refreshedDate="45995.616118171296" backgroundQuery="1" createdVersion="7" refreshedVersion="7" minRefreshableVersion="3" recordCount="0" supportSubquery="1" supportAdvancedDrill="1" xr:uid="{1158A10D-104B-43C8-B637-AAC1284C24C0}">
  <cacheSource type="external" connectionId="1"/>
  <cacheFields count="4">
    <cacheField name="[Measures].[Sum of Ammonia Kg_Day]" caption="Sum of Ammonia Kg_Day" numFmtId="0" hierarchy="26" level="32767"/>
    <cacheField name="[Measures].[Sum of Hydrazine Kg_Day]" caption="Sum of Hydrazine Kg_Day" numFmtId="0" hierarchy="27" level="32767"/>
    <cacheField name="[Measures].[Sum of DEHA Kg_Day]" caption="Sum of DEHA Kg_Day" numFmtId="0" hierarchy="28" level="32767"/>
    <cacheField name="[Measures].[Sum of Phosphate_Dosage Kg_Day]" caption="Sum of Phosphate_Dosage Kg_Day" numFmtId="0" hierarchy="29" level="32767"/>
  </cacheFields>
  <cacheHierarchies count="30">
    <cacheHierarchy uniqueName="[Range].[Variables]" caption="Variables" attribute="1" defaultMemberUniqueName="[Range].[Variables].[All]" allUniqueName="[Range].[Variables].[All]" dimensionUniqueName="[Range]" displayFolder="" count="0" memberValueDatatype="130" unbalanced="0"/>
    <cacheHierarchy uniqueName="[Range].[MIN]" caption="MIN" attribute="1" defaultMemberUniqueName="[Range].[MIN].[All]" allUniqueName="[Range].[MIN].[All]" dimensionUniqueName="[Range]" displayFolder="" count="0" memberValueDatatype="5" unbalanced="0"/>
    <cacheHierarchy uniqueName="[Range].[MAX]" caption="MAX" attribute="1" defaultMemberUniqueName="[Range].[MAX].[All]" allUniqueName="[Range].[MAX].[All]" dimensionUniqueName="[Range]" displayFolder="" count="0" memberValueDatatype="5" unbalanced="0"/>
    <cacheHierarchy uniqueName="[Range].[Average]" caption="Average" attribute="1" defaultMemberUniqueName="[Range].[Average].[All]" allUniqueName="[Range].[Average].[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STDEV الانحراف المعياري]" caption="STDEV الانحراف المعياري" attribute="1" defaultMemberUniqueName="[Range].[STDEV الانحراف المعياري].[All]" allUniqueName="[Range].[STDEV الانحراف المعياري].[All]" dimensionUniqueName="[Range]"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Load_MW Load]" caption="Load_MW Load" attribute="1" defaultMemberUniqueName="[Table1].[Load_MW Load].[All]" allUniqueName="[Table1].[Load_MW Load].[All]" dimensionUniqueName="[Table1]" displayFolder="" count="0" memberValueDatatype="20" unbalanced="0"/>
    <cacheHierarchy uniqueName="[Table1].[Ignition Type]" caption="Ignition Type" attribute="1" defaultMemberUniqueName="[Table1].[Ignition Type].[All]" allUniqueName="[Table1].[Ignition Type].[All]" dimensionUniqueName="[Table1]" displayFolder="" count="0" memberValueDatatype="130" unbalanced="0"/>
    <cacheHierarchy uniqueName="[Table1].[Ammonia Kg_Day]" caption="Ammonia Kg_Day" attribute="1" defaultMemberUniqueName="[Table1].[Ammonia Kg_Day].[All]" allUniqueName="[Table1].[Ammonia Kg_Day].[All]" dimensionUniqueName="[Table1]" displayFolder="" count="0" memberValueDatatype="5" unbalanced="0"/>
    <cacheHierarchy uniqueName="[Table1].[Hydrazine Kg_Day]" caption="Hydrazine Kg_Day" attribute="1" defaultMemberUniqueName="[Table1].[Hydrazine Kg_Day].[All]" allUniqueName="[Table1].[Hydrazine Kg_Day].[All]" dimensionUniqueName="[Table1]" displayFolder="" count="0" memberValueDatatype="5" unbalanced="0"/>
    <cacheHierarchy uniqueName="[Table1].[DEHA Kg_Day]" caption="DEHA Kg_Day" attribute="1" defaultMemberUniqueName="[Table1].[DEHA Kg_Day].[All]" allUniqueName="[Table1].[DEHA Kg_Day].[All]" dimensionUniqueName="[Table1]" displayFolder="" count="0" memberValueDatatype="20" unbalanced="0"/>
    <cacheHierarchy uniqueName="[Table1].[Phosphate_Dosage Kg_Day]" caption="Phosphate_Dosage Kg_Day" attribute="1" defaultMemberUniqueName="[Table1].[Phosphate_Dosage Kg_Day].[All]" allUniqueName="[Table1].[Phosphate_Dosage Kg_Day].[All]" dimensionUniqueName="[Table1]" displayFolder="" count="0" memberValueDatatype="5" unbalanced="0"/>
    <cacheHierarchy uniqueName="[Table1].[Condensate Ph]" caption="Condensate Ph" attribute="1" defaultMemberUniqueName="[Table1].[Condensate Ph].[All]" allUniqueName="[Table1].[Condensate Ph].[All]" dimensionUniqueName="[Table1]" displayFolder="" count="0" memberValueDatatype="5" unbalanced="0"/>
    <cacheHierarchy uniqueName="[Table1].[Condensate Cond]" caption="Condensate Cond" attribute="1" defaultMemberUniqueName="[Table1].[Condensate Cond].[All]" allUniqueName="[Table1].[Condensate Cond].[All]" dimensionUniqueName="[Table1]" displayFolder="" count="0" memberValueDatatype="5" unbalanced="0"/>
    <cacheHierarchy uniqueName="[Table1].[Condensate Do]" caption="Condensate Do" attribute="1" defaultMemberUniqueName="[Table1].[Condensate Do].[All]" allUniqueName="[Table1].[Condensate Do].[All]" dimensionUniqueName="[Table1]" displayFolder="" count="0" memberValueDatatype="5" unbalanced="0"/>
    <cacheHierarchy uniqueName="[Table1].[Boiler Ph]" caption="Boiler Ph" attribute="1" defaultMemberUniqueName="[Table1].[Boiler Ph].[All]" allUniqueName="[Table1].[Boiler Ph].[All]" dimensionUniqueName="[Table1]" displayFolder="" count="0" memberValueDatatype="5" unbalanced="0"/>
    <cacheHierarchy uniqueName="[Table1].[Boiler Cond]" caption="Boiler Cond" attribute="1" defaultMemberUniqueName="[Table1].[Boiler Cond].[All]" allUniqueName="[Table1].[Boiler Cond].[All]" dimensionUniqueName="[Table1]" displayFolder="" count="0" memberValueDatatype="5" unbalanced="0"/>
    <cacheHierarchy uniqueName="[Table1].[Boiler Po4]" caption="Boiler Po4" attribute="1" defaultMemberUniqueName="[Table1].[Boiler Po4].[All]" allUniqueName="[Table1].[Boiler Po4].[All]" dimensionUniqueName="[Table1]" displayFolder="" count="0" memberValueDatatype="5" unbalanced="0"/>
    <cacheHierarchy uniqueName="[Table1].[Boiler Fe]" caption="Boiler Fe" attribute="1" defaultMemberUniqueName="[Table1].[Boiler Fe].[All]" allUniqueName="[Table1].[Boiler Fe].[All]" dimensionUniqueName="[Table1]" displayFolder="" count="0" memberValueDatatype="5" unbalanced="0"/>
    <cacheHierarchy uniqueName="[Table1].[Main Steam  Ph]" caption="Main Steam  Ph" attribute="1" defaultMemberUniqueName="[Table1].[Main Steam  Ph].[All]" allUniqueName="[Table1].[Main Steam  Ph].[All]" dimensionUniqueName="[Table1]" displayFolder="" count="0" memberValueDatatype="5" unbalanced="0"/>
    <cacheHierarchy uniqueName="[Table1].[Main Steam Cond]" caption="Main Steam Cond" attribute="1" defaultMemberUniqueName="[Table1].[Main Steam Cond].[All]" allUniqueName="[Table1].[Main Steam Cond].[All]" dimensionUniqueName="[Table1]" displayFolder="" count="0" memberValueDatatype="5" unbalanced="0"/>
    <cacheHierarchy uniqueName="[Table1].[Main Steam Fe]" caption="Main Steam Fe" attribute="1" defaultMemberUniqueName="[Table1].[Main Steam Fe].[All]" allUniqueName="[Table1].[Main Steam Fe].[All]" dimensionUniqueName="[Table1]" displayFolder="" count="0" memberValueDatatype="5"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monia Kg_Day]" caption="Sum of Ammonia Kg_Day"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Hydrazine Kg_Day]" caption="Sum of Hydrazine Kg_Day"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DEHA Kg_Day]" caption="Sum of DEHA Kg_Day"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hosphate_Dosage Kg_Day]" caption="Sum of Phosphate_Dosage Kg_Day"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 Store" refreshedDate="45995.767984375001" createdVersion="7" refreshedVersion="7" minRefreshableVersion="3" recordCount="15" xr:uid="{2F7ABEB6-DD7E-44EB-B2B5-7DA7F776E0CF}">
  <cacheSource type="worksheet">
    <worksheetSource name="Table6"/>
  </cacheSource>
  <cacheFields count="2">
    <cacheField name="Variables" numFmtId="0">
      <sharedItems count="15">
        <s v="Unit Load MW"/>
        <s v="Ammonia_Dosage_Kg"/>
        <s v="Hydrazine_Dosage_Kg"/>
        <s v="DEHA Dosage Kg_Day"/>
        <s v="Phosphate_Dosage_Kg"/>
        <s v="Condensate Ph"/>
        <s v="Condensate Cond"/>
        <s v="Condensate Do"/>
        <s v="Boiler _x000a_Ph"/>
        <s v="Boiler _x000a_Cond"/>
        <s v="Boiler _x000a_Po4"/>
        <s v="Boiler _x000a_Fe"/>
        <s v="Main Steam  Ph"/>
        <s v="Main Steam Cond"/>
        <s v="Main Steam Fe"/>
      </sharedItems>
    </cacheField>
    <cacheField name="Average" numFmtId="1">
      <sharedItems containsSemiMixedTypes="0" containsString="0" containsNumber="1" minValue="2.0830985915492954" maxValue="499.98591549295776" count="15">
        <n v="499.98591549295776"/>
        <n v="11.799999999999995"/>
        <n v="9.1309859154929551"/>
        <n v="9.7887323943661979"/>
        <n v="3.4154929577464785"/>
        <n v="9.2816901408450718"/>
        <n v="3.8690140845070404"/>
        <n v="5.7732394366197193"/>
        <n v="9.4605633802816929"/>
        <n v="13.195774647887317"/>
        <n v="4.0169014084507051"/>
        <n v="3.2830985915492956"/>
        <n v="9.3014084507042263"/>
        <n v="6.5267605633802823"/>
        <n v="2.0830985915492954"/>
      </sharedItems>
    </cacheField>
  </cacheFields>
  <extLst>
    <ext xmlns:x14="http://schemas.microsoft.com/office/spreadsheetml/2009/9/main" uri="{725AE2AE-9491-48be-B2B4-4EB974FC3084}">
      <x14:pivotCacheDefinition pivotCacheId="1984305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x v="0"/>
    <x v="0"/>
    <n v="12.5"/>
    <n v="12.5"/>
    <n v="0"/>
    <n v="3.5"/>
    <n v="9.4"/>
    <n v="3.6"/>
    <n v="6.2"/>
    <n v="9.6"/>
    <n v="12.5"/>
    <n v="3.2"/>
    <n v="2.1"/>
    <n v="9.4"/>
    <n v="5.8"/>
    <n v="1.2"/>
  </r>
  <r>
    <x v="1"/>
    <x v="1"/>
    <x v="0"/>
    <n v="12.5"/>
    <n v="11.8"/>
    <n v="6"/>
    <n v="3.5"/>
    <n v="9.3000000000000007"/>
    <n v="3.8"/>
    <n v="5.8"/>
    <n v="9.5"/>
    <n v="13.1"/>
    <n v="3.5"/>
    <n v="1.8"/>
    <n v="9.3000000000000007"/>
    <n v="6.2"/>
    <n v="0.9"/>
  </r>
  <r>
    <x v="2"/>
    <x v="2"/>
    <x v="1"/>
    <n v="9"/>
    <n v="15"/>
    <n v="7"/>
    <n v="2.5"/>
    <n v="8.1"/>
    <n v="3.3"/>
    <n v="4.5"/>
    <n v="9.6999999999999993"/>
    <n v="11.9"/>
    <n v="4.2"/>
    <n v="5.3"/>
    <n v="9.5"/>
    <n v="4.5"/>
    <n v="1.8"/>
  </r>
  <r>
    <x v="3"/>
    <x v="3"/>
    <x v="1"/>
    <n v="9"/>
    <n v="14.5"/>
    <n v="2"/>
    <n v="2.5"/>
    <n v="9.1999999999999993"/>
    <n v="4"/>
    <n v="7.5"/>
    <n v="9.4"/>
    <n v="14"/>
    <n v="4.5"/>
    <n v="3.8"/>
    <n v="9.1999999999999993"/>
    <n v="7.2"/>
    <n v="2.2000000000000002"/>
  </r>
  <r>
    <x v="4"/>
    <x v="4"/>
    <x v="0"/>
    <n v="12"/>
    <n v="14.2"/>
    <n v="3"/>
    <n v="3.2"/>
    <n v="9.1999999999999993"/>
    <n v="3.9"/>
    <n v="7.1"/>
    <n v="8"/>
    <n v="13.8"/>
    <n v="3.8"/>
    <n v="2.8"/>
    <n v="9.1999999999999993"/>
    <n v="7.1"/>
    <n v="1.5"/>
  </r>
  <r>
    <x v="5"/>
    <x v="5"/>
    <x v="1"/>
    <n v="12"/>
    <n v="13.8"/>
    <n v="0"/>
    <n v="3.2"/>
    <n v="9.1"/>
    <n v="4.2"/>
    <n v="6.8"/>
    <n v="9.3000000000000007"/>
    <n v="14.2"/>
    <n v="4.3"/>
    <n v="3.2"/>
    <n v="9.1"/>
    <n v="7.5"/>
    <n v="1.9"/>
  </r>
  <r>
    <x v="6"/>
    <x v="5"/>
    <x v="1"/>
    <n v="12"/>
    <n v="8.5"/>
    <n v="3"/>
    <n v="3.2"/>
    <n v="9.3000000000000007"/>
    <n v="3.7"/>
    <n v="5.9"/>
    <n v="9.5"/>
    <n v="12.9"/>
    <n v="3.1"/>
    <n v="2.2999999999999998"/>
    <n v="9.3000000000000007"/>
    <n v="6.5"/>
    <n v="1.1000000000000001"/>
  </r>
  <r>
    <x v="7"/>
    <x v="6"/>
    <x v="0"/>
    <n v="9.5"/>
    <n v="7.2"/>
    <n v="4"/>
    <n v="2.8"/>
    <n v="9.4"/>
    <n v="3.5"/>
    <n v="4.8"/>
    <n v="9.6"/>
    <n v="12.2"/>
    <n v="3.7"/>
    <n v="1.9"/>
    <n v="9.4"/>
    <n v="5.2"/>
    <n v="0.8"/>
  </r>
  <r>
    <x v="8"/>
    <x v="3"/>
    <x v="1"/>
    <n v="9.5"/>
    <n v="5.2"/>
    <n v="6"/>
    <n v="2.8"/>
    <n v="9.1"/>
    <n v="4.0999999999999996"/>
    <n v="6.5"/>
    <n v="9.3000000000000007"/>
    <n v="14.2"/>
    <n v="4.5"/>
    <n v="3.5"/>
    <n v="9.1"/>
    <n v="7.8"/>
    <n v="1.9"/>
  </r>
  <r>
    <x v="9"/>
    <x v="7"/>
    <x v="1"/>
    <n v="13"/>
    <n v="3.2"/>
    <n v="8"/>
    <n v="3.8"/>
    <n v="9.1999999999999993"/>
    <n v="3.8"/>
    <n v="5.7"/>
    <n v="9.4"/>
    <n v="13.5"/>
    <n v="4.2"/>
    <n v="2.9"/>
    <n v="9.1999999999999993"/>
    <n v="6.9"/>
    <n v="1.6"/>
  </r>
  <r>
    <x v="10"/>
    <x v="4"/>
    <x v="0"/>
    <n v="13"/>
    <n v="1.5"/>
    <n v="9"/>
    <n v="3.8"/>
    <n v="9.5"/>
    <n v="3.4"/>
    <n v="4"/>
    <n v="9.6999999999999993"/>
    <n v="11.8"/>
    <n v="3.4"/>
    <n v="1.5"/>
    <n v="9.5"/>
    <n v="4.7"/>
    <n v="0.6"/>
  </r>
  <r>
    <x v="11"/>
    <x v="5"/>
    <x v="0"/>
    <n v="13"/>
    <n v="6.7"/>
    <n v="6"/>
    <n v="3.8"/>
    <n v="9.4"/>
    <n v="3.4"/>
    <n v="4.2"/>
    <n v="9.6999999999999993"/>
    <n v="13.3"/>
    <n v="3.6"/>
    <n v="6.7"/>
    <n v="9.4"/>
    <n v="4.8"/>
    <n v="0.7"/>
  </r>
  <r>
    <x v="12"/>
    <x v="3"/>
    <x v="0"/>
    <n v="12.8"/>
    <n v="5.8"/>
    <n v="9"/>
    <n v="3.6"/>
    <n v="9.3000000000000007"/>
    <n v="3.6"/>
    <n v="3.9"/>
    <n v="9.6"/>
    <n v="11.8"/>
    <n v="2.9"/>
    <n v="1.4"/>
    <n v="9.5"/>
    <n v="5.0999999999999996"/>
    <n v="0.6"/>
  </r>
  <r>
    <x v="13"/>
    <x v="1"/>
    <x v="1"/>
    <n v="12.8"/>
    <n v="5.8"/>
    <n v="12"/>
    <n v="3.6"/>
    <n v="9.3000000000000007"/>
    <n v="3.9"/>
    <n v="5.0999999999999996"/>
    <n v="9.5"/>
    <n v="13.9"/>
    <n v="4.8"/>
    <n v="2.5"/>
    <n v="9.3000000000000007"/>
    <n v="7.2"/>
    <n v="1.3"/>
  </r>
  <r>
    <x v="14"/>
    <x v="8"/>
    <x v="1"/>
    <n v="9.1999999999999993"/>
    <n v="15"/>
    <n v="13"/>
    <n v="2.6"/>
    <n v="9.1999999999999993"/>
    <n v="4.0999999999999996"/>
    <n v="6.2"/>
    <n v="9.4"/>
    <n v="14.3"/>
    <n v="5"/>
    <n v="3.8"/>
    <n v="9.1999999999999993"/>
    <n v="7.8"/>
    <n v="1.9"/>
  </r>
  <r>
    <x v="15"/>
    <x v="2"/>
    <x v="0"/>
    <n v="9.1999999999999993"/>
    <n v="7.3"/>
    <n v="17"/>
    <n v="2.6"/>
    <n v="9.5"/>
    <n v="3.5"/>
    <n v="4.0999999999999996"/>
    <n v="9.6999999999999993"/>
    <n v="12"/>
    <n v="3.3"/>
    <n v="1.6"/>
    <n v="9.5"/>
    <n v="5"/>
    <n v="7.3"/>
  </r>
  <r>
    <x v="16"/>
    <x v="5"/>
    <x v="1"/>
    <n v="12.2"/>
    <n v="6.7"/>
    <n v="6"/>
    <n v="3.3"/>
    <n v="9.1999999999999993"/>
    <n v="4"/>
    <n v="6.8"/>
    <n v="9.4"/>
    <n v="10"/>
    <n v="4.4000000000000004"/>
    <n v="3.6"/>
    <n v="9.1999999999999993"/>
    <n v="7.5"/>
    <n v="6.7"/>
  </r>
  <r>
    <x v="17"/>
    <x v="4"/>
    <x v="0"/>
    <n v="12.2"/>
    <n v="14.2"/>
    <n v="10"/>
    <n v="3.3"/>
    <n v="9.3000000000000007"/>
    <n v="3.5"/>
    <n v="4.5"/>
    <n v="9.6"/>
    <n v="12.3"/>
    <n v="3.3"/>
    <n v="1.8"/>
    <n v="9.3000000000000007"/>
    <n v="5.3"/>
    <n v="0.8"/>
  </r>
  <r>
    <x v="18"/>
    <x v="3"/>
    <x v="0"/>
    <n v="12.2"/>
    <n v="13.8"/>
    <n v="9"/>
    <n v="3.3"/>
    <n v="9.5"/>
    <n v="3.7"/>
    <n v="3.7"/>
    <n v="9.8000000000000007"/>
    <n v="11.5"/>
    <n v="2.8"/>
    <n v="1.2"/>
    <n v="9.6"/>
    <n v="4.9000000000000004"/>
    <n v="0.5"/>
  </r>
  <r>
    <x v="19"/>
    <x v="7"/>
    <x v="1"/>
    <n v="9.4"/>
    <n v="8.5"/>
    <n v="12"/>
    <n v="2.7"/>
    <n v="9.1"/>
    <n v="4.2"/>
    <n v="7"/>
    <n v="9.3000000000000007"/>
    <n v="14.5"/>
    <n v="4.7"/>
    <n v="3.5"/>
    <n v="9.1"/>
    <n v="7.9"/>
    <n v="2"/>
  </r>
  <r>
    <x v="20"/>
    <x v="9"/>
    <x v="1"/>
    <n v="9.4"/>
    <n v="7.3"/>
    <n v="14"/>
    <n v="2.7"/>
    <n v="9"/>
    <n v="4.4000000000000004"/>
    <n v="8.5"/>
    <n v="9.1999999999999993"/>
    <n v="15.1"/>
    <n v="5.3"/>
    <n v="4.5"/>
    <n v="9"/>
    <n v="8.3000000000000007"/>
    <n v="2.8"/>
  </r>
  <r>
    <x v="21"/>
    <x v="5"/>
    <x v="0"/>
    <n v="13.2"/>
    <n v="6.7"/>
    <n v="6"/>
    <n v="3.9"/>
    <n v="9.4"/>
    <n v="3.6"/>
    <n v="4.3"/>
    <n v="9.6"/>
    <n v="13.7"/>
    <n v="3.2"/>
    <n v="6.7"/>
    <n v="9.4"/>
    <n v="5.4"/>
    <n v="0.8"/>
  </r>
  <r>
    <x v="22"/>
    <x v="6"/>
    <x v="1"/>
    <n v="13.2"/>
    <n v="5.8"/>
    <n v="11"/>
    <n v="3.9"/>
    <n v="9.1999999999999993"/>
    <n v="4.0999999999999996"/>
    <n v="6.5"/>
    <n v="9.4"/>
    <n v="14"/>
    <n v="4.3"/>
    <n v="3"/>
    <n v="9.1999999999999993"/>
    <n v="7.3"/>
    <n v="1.8"/>
  </r>
  <r>
    <x v="23"/>
    <x v="1"/>
    <x v="1"/>
    <n v="13.2"/>
    <n v="15"/>
    <n v="11"/>
    <n v="3.9"/>
    <n v="9"/>
    <n v="4.3"/>
    <n v="8.1"/>
    <n v="9.1999999999999993"/>
    <n v="15.2"/>
    <n v="4.5999999999999996"/>
    <n v="4.8"/>
    <n v="9"/>
    <n v="8.5"/>
    <n v="2.5"/>
  </r>
  <r>
    <x v="24"/>
    <x v="8"/>
    <x v="0"/>
    <n v="13"/>
    <n v="7.3"/>
    <n v="7"/>
    <n v="3.7"/>
    <n v="9.5"/>
    <n v="3.4"/>
    <n v="4"/>
    <n v="9.6999999999999993"/>
    <n v="11.9"/>
    <n v="3.5"/>
    <n v="1.5"/>
    <n v="9.5"/>
    <n v="4.8"/>
    <n v="7.3"/>
  </r>
  <r>
    <x v="25"/>
    <x v="3"/>
    <x v="0"/>
    <n v="13"/>
    <n v="6.7"/>
    <n v="6"/>
    <n v="3.7"/>
    <n v="9.4"/>
    <n v="3.6"/>
    <n v="4.8"/>
    <n v="9.6"/>
    <n v="11"/>
    <n v="3.4"/>
    <n v="7.9"/>
    <n v="9.4"/>
    <n v="5.6"/>
    <n v="0.9"/>
  </r>
  <r>
    <x v="26"/>
    <x v="0"/>
    <x v="1"/>
    <n v="9.1"/>
    <n v="14.2"/>
    <n v="13"/>
    <n v="2.6"/>
    <n v="9.1"/>
    <n v="4.2"/>
    <n v="7.2"/>
    <n v="9.3000000000000007"/>
    <n v="14.7"/>
    <n v="4.9000000000000004"/>
    <n v="3.9"/>
    <n v="9.1"/>
    <n v="8"/>
    <n v="2.2000000000000002"/>
  </r>
  <r>
    <x v="27"/>
    <x v="10"/>
    <x v="1"/>
    <n v="9.1"/>
    <n v="7.3"/>
    <n v="14"/>
    <n v="2.6"/>
    <n v="8.9"/>
    <n v="4.5"/>
    <n v="9.1999999999999993"/>
    <n v="9.1"/>
    <n v="15.8"/>
    <n v="5.5"/>
    <n v="5.2"/>
    <n v="8.9"/>
    <n v="8.9"/>
    <n v="3.1"/>
  </r>
  <r>
    <x v="28"/>
    <x v="5"/>
    <x v="0"/>
    <n v="12.4"/>
    <n v="8.5"/>
    <n v="9"/>
    <n v="3.4"/>
    <n v="9.6"/>
    <n v="3.5"/>
    <n v="3.8"/>
    <n v="9.8000000000000007"/>
    <n v="11.7"/>
    <n v="2.9"/>
    <n v="1.3"/>
    <n v="9.6"/>
    <n v="4.7"/>
    <n v="0.5"/>
  </r>
  <r>
    <x v="29"/>
    <x v="4"/>
    <x v="0"/>
    <n v="12.4"/>
    <n v="13.8"/>
    <n v="10"/>
    <n v="3.4"/>
    <n v="9.4"/>
    <n v="3.6"/>
    <n v="4.5999999999999996"/>
    <n v="9.6"/>
    <n v="12.4"/>
    <n v="3.4"/>
    <n v="1.8"/>
    <n v="9.4"/>
    <n v="5.5"/>
    <n v="0.8"/>
  </r>
  <r>
    <x v="30"/>
    <x v="2"/>
    <x v="1"/>
    <n v="12.4"/>
    <n v="7.3"/>
    <n v="12"/>
    <n v="3.4"/>
    <n v="9.1999999999999993"/>
    <n v="4.0999999999999996"/>
    <n v="6.8"/>
    <n v="9.4"/>
    <n v="14.3"/>
    <n v="4.8"/>
    <n v="3.4"/>
    <n v="9.1999999999999993"/>
    <n v="7.6"/>
    <n v="1.9"/>
  </r>
  <r>
    <x v="31"/>
    <x v="1"/>
    <x v="0"/>
    <n v="9.6"/>
    <n v="5.8"/>
    <n v="9"/>
    <n v="2.8"/>
    <n v="9.6999999999999993"/>
    <n v="3.3"/>
    <n v="3.5"/>
    <n v="9.9"/>
    <n v="11.2"/>
    <n v="2.7"/>
    <n v="1.1000000000000001"/>
    <n v="9.6999999999999993"/>
    <n v="4.5"/>
    <n v="0.4"/>
  </r>
  <r>
    <x v="32"/>
    <x v="0"/>
    <x v="1"/>
    <n v="9.6"/>
    <n v="6.7"/>
    <n v="6"/>
    <n v="2.8"/>
    <n v="9.6"/>
    <n v="4.3"/>
    <n v="7.8"/>
    <n v="9.3000000000000007"/>
    <n v="9"/>
    <n v="5"/>
    <n v="4"/>
    <n v="9.3000000000000007"/>
    <n v="8.1999999999999993"/>
    <n v="2.6"/>
  </r>
  <r>
    <x v="33"/>
    <x v="6"/>
    <x v="1"/>
    <n v="13.4"/>
    <n v="12.5"/>
    <n v="11"/>
    <n v="4"/>
    <n v="9.1999999999999993"/>
    <n v="4"/>
    <n v="6.3"/>
    <n v="9.4"/>
    <n v="13.9"/>
    <n v="4.4000000000000004"/>
    <n v="2.9"/>
    <n v="9.1999999999999993"/>
    <n v="7.4"/>
    <n v="1.7"/>
  </r>
  <r>
    <x v="34"/>
    <x v="5"/>
    <x v="0"/>
    <n v="13.4"/>
    <n v="7.3"/>
    <n v="7"/>
    <n v="4"/>
    <n v="9.5"/>
    <n v="3.7"/>
    <n v="4.2"/>
    <n v="9.6999999999999993"/>
    <n v="12.2"/>
    <n v="3.1"/>
    <n v="1.6"/>
    <n v="9.5"/>
    <n v="5.2"/>
    <n v="3.7"/>
  </r>
  <r>
    <x v="35"/>
    <x v="11"/>
    <x v="0"/>
    <n v="13.4"/>
    <n v="7.3"/>
    <n v="7"/>
    <n v="4"/>
    <n v="9.4"/>
    <n v="3.5"/>
    <n v="4.4000000000000004"/>
    <n v="9.6"/>
    <n v="12.3"/>
    <n v="3.3"/>
    <n v="1.7"/>
    <n v="9.4"/>
    <n v="5.3"/>
    <n v="7.3"/>
  </r>
  <r>
    <x v="36"/>
    <x v="6"/>
    <x v="1"/>
    <n v="13.2"/>
    <n v="8.5"/>
    <n v="12"/>
    <n v="3.8"/>
    <n v="9.1999999999999993"/>
    <n v="4"/>
    <n v="6.5"/>
    <n v="9.4"/>
    <n v="14"/>
    <n v="4.5"/>
    <n v="3.1"/>
    <n v="9.1999999999999993"/>
    <n v="7.3"/>
    <n v="1.8"/>
  </r>
  <r>
    <x v="37"/>
    <x v="5"/>
    <x v="0"/>
    <n v="13.2"/>
    <n v="14.2"/>
    <n v="9"/>
    <n v="3.8"/>
    <n v="9.6"/>
    <n v="3.6"/>
    <n v="3.9"/>
    <n v="9.6999999999999993"/>
    <n v="11.9"/>
    <n v="2.8"/>
    <n v="1.4"/>
    <n v="9.6"/>
    <n v="4.8"/>
    <n v="0.6"/>
  </r>
  <r>
    <x v="38"/>
    <x v="9"/>
    <x v="1"/>
    <n v="9.3000000000000007"/>
    <n v="7.3"/>
    <n v="14"/>
    <n v="2.7"/>
    <n v="9"/>
    <n v="4.3"/>
    <n v="8"/>
    <n v="9.1999999999999993"/>
    <n v="15"/>
    <n v="5.2"/>
    <n v="4.3"/>
    <n v="9"/>
    <n v="8.1"/>
    <n v="2.7"/>
  </r>
  <r>
    <x v="39"/>
    <x v="3"/>
    <x v="0"/>
    <n v="9.3000000000000007"/>
    <n v="6.7"/>
    <n v="6"/>
    <n v="2.7"/>
    <n v="9.5"/>
    <n v="3.7"/>
    <n v="4.5999999999999996"/>
    <n v="9.6"/>
    <n v="6.7"/>
    <n v="3.2"/>
    <n v="7.8"/>
    <n v="9.5"/>
    <n v="5.4"/>
    <n v="0.8"/>
  </r>
  <r>
    <x v="40"/>
    <x v="7"/>
    <x v="1"/>
    <n v="12.6"/>
    <n v="7.3"/>
    <n v="13"/>
    <n v="3.5"/>
    <n v="9.1"/>
    <n v="4.2"/>
    <n v="7.3"/>
    <n v="9.3000000000000007"/>
    <n v="14.6"/>
    <n v="4.9000000000000004"/>
    <n v="3.7"/>
    <n v="9.1"/>
    <n v="7.9"/>
    <n v="2.1"/>
  </r>
  <r>
    <x v="41"/>
    <x v="8"/>
    <x v="0"/>
    <n v="12.6"/>
    <n v="5.8"/>
    <n v="10"/>
    <n v="3.5"/>
    <n v="9.4"/>
    <n v="3.5"/>
    <n v="4.5"/>
    <n v="9.6"/>
    <n v="12.4"/>
    <n v="3.4"/>
    <n v="1.9"/>
    <n v="9.4"/>
    <n v="5.5"/>
    <n v="0.9"/>
  </r>
  <r>
    <x v="42"/>
    <x v="4"/>
    <x v="1"/>
    <n v="12.6"/>
    <n v="15"/>
    <n v="12"/>
    <n v="3.5"/>
    <n v="9.1999999999999993"/>
    <n v="4.0999999999999996"/>
    <n v="6.9"/>
    <n v="9.4"/>
    <n v="14.4"/>
    <n v="4.8"/>
    <n v="3.5"/>
    <n v="9.1999999999999993"/>
    <n v="7.7"/>
    <n v="2"/>
  </r>
  <r>
    <x v="43"/>
    <x v="5"/>
    <x v="0"/>
    <n v="9.6999999999999993"/>
    <n v="7.3"/>
    <n v="9"/>
    <n v="2.9"/>
    <n v="9.6"/>
    <n v="3.6"/>
    <n v="3.8"/>
    <n v="9.6999999999999993"/>
    <n v="11.8"/>
    <n v="2.9"/>
    <n v="1.5"/>
    <n v="9.6"/>
    <n v="4.9000000000000004"/>
    <n v="7.6"/>
  </r>
  <r>
    <x v="44"/>
    <x v="10"/>
    <x v="1"/>
    <n v="9.6999999999999993"/>
    <n v="13.8"/>
    <n v="15"/>
    <n v="2.9"/>
    <n v="8.8000000000000007"/>
    <n v="4.5999999999999996"/>
    <n v="9.8000000000000007"/>
    <n v="9"/>
    <n v="16.2"/>
    <n v="5.8"/>
    <n v="5.8"/>
    <n v="8.8000000000000007"/>
    <n v="9.1999999999999993"/>
    <n v="3.5"/>
  </r>
  <r>
    <x v="45"/>
    <x v="12"/>
    <x v="1"/>
    <n v="13.6"/>
    <n v="7.3"/>
    <n v="12"/>
    <n v="4.0999999999999996"/>
    <n v="9.1999999999999993"/>
    <n v="4"/>
    <n v="6.4"/>
    <n v="9.4"/>
    <n v="13.8"/>
    <n v="4.5999999999999996"/>
    <n v="3.2"/>
    <n v="9.1999999999999993"/>
    <n v="7.6"/>
    <n v="2"/>
  </r>
  <r>
    <x v="46"/>
    <x v="1"/>
    <x v="0"/>
    <n v="13.6"/>
    <n v="6.7"/>
    <n v="6"/>
    <n v="4.0999999999999996"/>
    <n v="9.5"/>
    <n v="3.7"/>
    <n v="4.3"/>
    <n v="9.6"/>
    <n v="12"/>
    <n v="3.6"/>
    <n v="6"/>
    <n v="9.5"/>
    <n v="5.3"/>
    <n v="0.8"/>
  </r>
  <r>
    <x v="47"/>
    <x v="6"/>
    <x v="0"/>
    <n v="13.6"/>
    <n v="6.7"/>
    <n v="6"/>
    <n v="4.0999999999999996"/>
    <n v="9.4"/>
    <n v="3.5"/>
    <n v="4.5999999999999996"/>
    <n v="9.6"/>
    <n v="15"/>
    <n v="3.4"/>
    <n v="6"/>
    <n v="9.4"/>
    <n v="5.4"/>
    <n v="0.8"/>
  </r>
  <r>
    <x v="48"/>
    <x v="8"/>
    <x v="1"/>
    <n v="13.4"/>
    <n v="8.5"/>
    <n v="13"/>
    <n v="3.9"/>
    <n v="9.1"/>
    <n v="4.3"/>
    <n v="7.5"/>
    <n v="9.3000000000000007"/>
    <n v="14.8"/>
    <n v="5"/>
    <n v="4"/>
    <n v="9.1"/>
    <n v="8"/>
    <n v="2.4"/>
  </r>
  <r>
    <x v="49"/>
    <x v="5"/>
    <x v="0"/>
    <n v="13.4"/>
    <n v="6.7"/>
    <n v="9"/>
    <n v="3.9"/>
    <n v="9.6"/>
    <n v="3.6"/>
    <n v="4"/>
    <n v="9.6999999999999993"/>
    <n v="12.8"/>
    <n v="2.9"/>
    <n v="6.4"/>
    <n v="9.6"/>
    <n v="4.9000000000000004"/>
    <n v="0.7"/>
  </r>
  <r>
    <x v="50"/>
    <x v="13"/>
    <x v="1"/>
    <n v="9.4"/>
    <n v="7.3"/>
    <n v="12"/>
    <n v="2.8"/>
    <n v="9.1"/>
    <n v="4.2"/>
    <n v="7.4"/>
    <n v="9.3000000000000007"/>
    <n v="14.7"/>
    <n v="4.9000000000000004"/>
    <n v="3.8"/>
    <n v="9.1"/>
    <n v="8"/>
    <n v="2.2999999999999998"/>
  </r>
  <r>
    <x v="51"/>
    <x v="14"/>
    <x v="1"/>
    <n v="9.4"/>
    <n v="7.3"/>
    <n v="16"/>
    <n v="2.8"/>
    <n v="8.6999999999999993"/>
    <n v="4.7"/>
    <n v="7.3"/>
    <n v="8.9"/>
    <n v="16.8"/>
    <n v="6"/>
    <n v="6.5"/>
    <n v="8.6999999999999993"/>
    <n v="9.5"/>
    <n v="4"/>
  </r>
  <r>
    <x v="52"/>
    <x v="3"/>
    <x v="0"/>
    <n v="12.8"/>
    <n v="14.2"/>
    <n v="10"/>
    <n v="3.6"/>
    <n v="9.5"/>
    <n v="3.7"/>
    <n v="4.2"/>
    <n v="9.6"/>
    <n v="12.7"/>
    <n v="3.2"/>
    <n v="1.8"/>
    <n v="9.5"/>
    <n v="5.5"/>
    <n v="0.8"/>
  </r>
  <r>
    <x v="53"/>
    <x v="4"/>
    <x v="0"/>
    <n v="12.8"/>
    <n v="6.3"/>
    <n v="10"/>
    <n v="3.6"/>
    <n v="9.4"/>
    <n v="3.5"/>
    <n v="4.7"/>
    <n v="9.6"/>
    <n v="12.3"/>
    <n v="3.4"/>
    <n v="1.9"/>
    <n v="9.4"/>
    <n v="5.4"/>
    <n v="0.9"/>
  </r>
  <r>
    <x v="54"/>
    <x v="15"/>
    <x v="1"/>
    <n v="12.8"/>
    <n v="7.3"/>
    <n v="12"/>
    <n v="3.6"/>
    <n v="9.1999999999999993"/>
    <n v="4.0999999999999996"/>
    <n v="6.7"/>
    <n v="9.4"/>
    <n v="14.2"/>
    <n v="4.7"/>
    <n v="3.3"/>
    <n v="9.1999999999999993"/>
    <n v="7.6"/>
    <n v="1.9"/>
  </r>
  <r>
    <x v="55"/>
    <x v="5"/>
    <x v="0"/>
    <n v="9.8000000000000007"/>
    <n v="5.8"/>
    <n v="9"/>
    <n v="3"/>
    <n v="9.6"/>
    <n v="3.6"/>
    <n v="3.9"/>
    <n v="9.6999999999999993"/>
    <n v="11.8"/>
    <n v="2.8"/>
    <n v="1.5"/>
    <n v="9.6"/>
    <n v="4.8"/>
    <n v="0.6"/>
  </r>
  <r>
    <x v="56"/>
    <x v="9"/>
    <x v="1"/>
    <n v="9.8000000000000007"/>
    <n v="7.3"/>
    <n v="14"/>
    <n v="3"/>
    <n v="9"/>
    <n v="4.4000000000000004"/>
    <n v="8.1999999999999993"/>
    <n v="9.1999999999999993"/>
    <n v="15.3"/>
    <n v="5.3"/>
    <n v="4.4000000000000004"/>
    <n v="9"/>
    <n v="8.3000000000000007"/>
    <n v="2.8"/>
  </r>
  <r>
    <x v="57"/>
    <x v="3"/>
    <x v="1"/>
    <n v="13.8"/>
    <n v="13.8"/>
    <n v="12"/>
    <n v="4.2"/>
    <n v="9.1999999999999993"/>
    <n v="4"/>
    <n v="6.3"/>
    <n v="9.4"/>
    <n v="13.7"/>
    <n v="4.5"/>
    <n v="3.1"/>
    <n v="9.1999999999999993"/>
    <n v="7.4"/>
    <n v="1.8"/>
  </r>
  <r>
    <x v="58"/>
    <x v="16"/>
    <x v="0"/>
    <n v="13.8"/>
    <n v="7.3"/>
    <n v="17"/>
    <n v="4.2"/>
    <n v="9.5"/>
    <n v="3.7"/>
    <n v="4.4000000000000004"/>
    <n v="9.6"/>
    <n v="12.4"/>
    <n v="3.1"/>
    <n v="1.7"/>
    <n v="9.5"/>
    <n v="5.2"/>
    <n v="7.8"/>
  </r>
  <r>
    <x v="59"/>
    <x v="8"/>
    <x v="0"/>
    <n v="13.8"/>
    <n v="7.3"/>
    <n v="17"/>
    <n v="4.2"/>
    <n v="9.4"/>
    <n v="3.5"/>
    <n v="4.8"/>
    <n v="9.6"/>
    <n v="12.5"/>
    <n v="3.5"/>
    <n v="2"/>
    <n v="9.4"/>
    <n v="5.6"/>
    <n v="1"/>
  </r>
  <r>
    <x v="60"/>
    <x v="4"/>
    <x v="1"/>
    <n v="13.6"/>
    <n v="15"/>
    <n v="13"/>
    <n v="4"/>
    <n v="9.1"/>
    <n v="4.2"/>
    <n v="7.1"/>
    <n v="9.3000000000000007"/>
    <n v="14.5"/>
    <n v="4.9000000000000004"/>
    <n v="3.6"/>
    <n v="9.1"/>
    <n v="7.8"/>
    <n v="2.1"/>
  </r>
  <r>
    <x v="61"/>
    <x v="5"/>
    <x v="0"/>
    <n v="13.6"/>
    <n v="8.5"/>
    <n v="9"/>
    <n v="4"/>
    <n v="9.6"/>
    <n v="3.6"/>
    <n v="4.0999999999999996"/>
    <n v="9.6999999999999993"/>
    <n v="12"/>
    <n v="2.9"/>
    <n v="1.6"/>
    <n v="9.6"/>
    <n v="5"/>
    <n v="0.7"/>
  </r>
  <r>
    <x v="62"/>
    <x v="10"/>
    <x v="1"/>
    <n v="9.5"/>
    <n v="14.2"/>
    <n v="15"/>
    <n v="2.9"/>
    <n v="8.9"/>
    <n v="4.5"/>
    <n v="9.5"/>
    <n v="9.1"/>
    <n v="16"/>
    <n v="5.7"/>
    <n v="5.5"/>
    <n v="8.9"/>
    <n v="9"/>
    <n v="3.3"/>
  </r>
  <r>
    <x v="63"/>
    <x v="3"/>
    <x v="1"/>
    <n v="9.5"/>
    <n v="6.3"/>
    <n v="12"/>
    <n v="2.9"/>
    <n v="9.4"/>
    <n v="4.0999999999999996"/>
    <n v="6.6"/>
    <n v="9.4"/>
    <n v="13.9"/>
    <n v="4.7"/>
    <n v="3.4"/>
    <n v="9.4"/>
    <n v="7.6"/>
    <n v="2"/>
  </r>
  <r>
    <x v="64"/>
    <x v="7"/>
    <x v="0"/>
    <n v="13"/>
    <n v="12.5"/>
    <n v="10"/>
    <n v="3.7"/>
    <n v="9.5"/>
    <n v="3.7"/>
    <n v="4.5"/>
    <n v="9.6"/>
    <n v="12.8"/>
    <n v="3.2"/>
    <n v="1.9"/>
    <n v="9.5"/>
    <n v="5.6"/>
    <n v="0.9"/>
  </r>
  <r>
    <x v="65"/>
    <x v="4"/>
    <x v="0"/>
    <n v="13"/>
    <n v="6.3"/>
    <n v="10"/>
    <n v="3.7"/>
    <n v="9.4"/>
    <n v="3.5"/>
    <n v="4.5999999999999996"/>
    <n v="9.6"/>
    <n v="12.4"/>
    <n v="3.4"/>
    <n v="1.8"/>
    <n v="9.4"/>
    <n v="5.5"/>
    <n v="0.8"/>
  </r>
  <r>
    <x v="66"/>
    <x v="6"/>
    <x v="1"/>
    <n v="13"/>
    <n v="13.8"/>
    <n v="12"/>
    <n v="3.7"/>
    <n v="9.1999999999999993"/>
    <n v="4.0999999999999996"/>
    <n v="6.8"/>
    <n v="9.4"/>
    <n v="14.3"/>
    <n v="4.8"/>
    <n v="3.5"/>
    <n v="9.1999999999999993"/>
    <n v="7.7"/>
    <n v="2"/>
  </r>
  <r>
    <x v="67"/>
    <x v="5"/>
    <x v="0"/>
    <n v="9.9"/>
    <n v="5.8"/>
    <n v="9"/>
    <n v="3.1"/>
    <n v="9.6"/>
    <n v="3.6"/>
    <n v="4"/>
    <n v="9.6999999999999993"/>
    <n v="11.9"/>
    <n v="2.9"/>
    <n v="1.6"/>
    <n v="9.6"/>
    <n v="4.9000000000000004"/>
    <n v="0.7"/>
  </r>
  <r>
    <x v="68"/>
    <x v="8"/>
    <x v="1"/>
    <n v="9.9"/>
    <n v="8.5"/>
    <n v="13"/>
    <n v="3.1"/>
    <n v="9.1"/>
    <n v="4.3"/>
    <n v="7.6"/>
    <n v="9.3000000000000007"/>
    <n v="14.9"/>
    <n v="5.0999999999999996"/>
    <n v="4.2"/>
    <n v="9.1"/>
    <n v="8.1"/>
    <n v="2.5"/>
  </r>
  <r>
    <x v="69"/>
    <x v="3"/>
    <x v="1"/>
    <n v="14"/>
    <n v="12.5"/>
    <n v="12"/>
    <n v="4.3"/>
    <n v="9.1999999999999993"/>
    <n v="4"/>
    <n v="6.5"/>
    <n v="9.4"/>
    <n v="13.8"/>
    <n v="4.5999999999999996"/>
    <n v="3.2"/>
    <n v="9.1999999999999993"/>
    <n v="7.5"/>
    <n v="1.9"/>
  </r>
  <r>
    <x v="70"/>
    <x v="1"/>
    <x v="0"/>
    <n v="14"/>
    <n v="8.5"/>
    <n v="10"/>
    <n v="4.3"/>
    <n v="9.5"/>
    <n v="3.7"/>
    <n v="4.3"/>
    <n v="9.6"/>
    <n v="12.5"/>
    <n v="3.1"/>
    <n v="1.7"/>
    <n v="9.5"/>
    <n v="5.3"/>
    <n v="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r>
  <r>
    <x v="1"/>
    <x v="1"/>
  </r>
  <r>
    <x v="2"/>
    <x v="2"/>
  </r>
  <r>
    <x v="3"/>
    <x v="3"/>
  </r>
  <r>
    <x v="4"/>
    <x v="4"/>
  </r>
  <r>
    <x v="5"/>
    <x v="5"/>
  </r>
  <r>
    <x v="6"/>
    <x v="6"/>
  </r>
  <r>
    <x v="7"/>
    <x v="7"/>
  </r>
  <r>
    <x v="8"/>
    <x v="8"/>
  </r>
  <r>
    <x v="9"/>
    <x v="9"/>
  </r>
  <r>
    <x v="10"/>
    <x v="10"/>
  </r>
  <r>
    <x v="11"/>
    <x v="11"/>
  </r>
  <r>
    <x v="12"/>
    <x v="12"/>
  </r>
  <r>
    <x v="13"/>
    <x v="13"/>
  </r>
  <r>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332E5-F15E-421B-8CA1-664BB2AE33B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4:D17" firstHeaderRow="0" firstDataRow="1" firstDataCol="1" rowPageCount="2" colPageCount="1"/>
  <pivotFields count="18">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Page" showAll="0">
      <items count="18">
        <item x="15"/>
        <item x="2"/>
        <item x="12"/>
        <item x="0"/>
        <item x="7"/>
        <item x="13"/>
        <item x="1"/>
        <item x="5"/>
        <item x="16"/>
        <item x="3"/>
        <item x="6"/>
        <item x="4"/>
        <item x="8"/>
        <item x="11"/>
        <item x="10"/>
        <item x="9"/>
        <item x="14"/>
        <item t="default"/>
      </items>
    </pivotField>
    <pivotField axis="axisPage" showAll="0">
      <items count="3">
        <item x="1"/>
        <item x="0"/>
        <item t="default"/>
      </items>
    </pivotField>
    <pivotField dataField="1" showAll="0"/>
    <pivotField showAll="0"/>
    <pivotField numFmtId="2" showAll="0"/>
    <pivotField numFmtId="2" showAll="0"/>
    <pivotField dataField="1" showAll="0"/>
    <pivotField dataField="1"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3">
    <i>
      <x/>
    </i>
    <i i="1">
      <x v="1"/>
    </i>
    <i i="2">
      <x v="2"/>
    </i>
  </colItems>
  <pageFields count="2">
    <pageField fld="2" hier="-1"/>
    <pageField fld="1" hier="-1"/>
  </pageFields>
  <dataFields count="3">
    <dataField name="Average of Condensate Ph" fld="7" subtotal="average" baseField="1" baseItem="0"/>
    <dataField name="Average of Condensate Cond" fld="8" subtotal="average" baseField="1" baseItem="0"/>
    <dataField name="Sum of Ammonia Kg_Day" fld="3" baseField="0" baseItem="0"/>
  </dataFields>
  <formats count="1">
    <format dxfId="16">
      <pivotArea outline="0" collapsedLevelsAreSubtotals="1" fieldPosition="0"/>
    </format>
  </formats>
  <chartFormats count="12">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3" series="1">
      <pivotArea type="data" outline="0" fieldPosition="0">
        <references count="1">
          <reference field="4294967294" count="1" selected="0">
            <x v="2"/>
          </reference>
        </references>
      </pivotArea>
    </chartFormat>
    <chartFormat chart="11"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8" format="23" series="1">
      <pivotArea type="data" outline="0" fieldPosition="0">
        <references count="1">
          <reference field="4294967294" count="1" selected="0">
            <x v="0"/>
          </reference>
        </references>
      </pivotArea>
    </chartFormat>
    <chartFormat chart="18" format="24" series="1">
      <pivotArea type="data" outline="0" fieldPosition="0">
        <references count="1">
          <reference field="4294967294" count="1" selected="0">
            <x v="1"/>
          </reference>
        </references>
      </pivotArea>
    </chartFormat>
    <chartFormat chart="18" format="25" series="1">
      <pivotArea type="data" outline="0" fieldPosition="0">
        <references count="1">
          <reference field="4294967294" count="1" selected="0">
            <x v="2"/>
          </reference>
        </references>
      </pivotArea>
    </chartFormat>
    <chartFormat chart="23" format="26" series="1">
      <pivotArea type="data" outline="0" fieldPosition="0">
        <references count="1">
          <reference field="4294967294" count="1" selected="0">
            <x v="0"/>
          </reference>
        </references>
      </pivotArea>
    </chartFormat>
    <chartFormat chart="23" format="27" series="1">
      <pivotArea type="data" outline="0" fieldPosition="0">
        <references count="1">
          <reference field="4294967294" count="1" selected="0">
            <x v="1"/>
          </reference>
        </references>
      </pivotArea>
    </chartFormat>
    <chartFormat chart="23" format="2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5AEC4-2E2B-4863-80D8-5D282AA70FAA}" name="PivotTable10" cacheId="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3:B5" firstHeaderRow="1" firstDataRow="1" firstDataCol="1"/>
  <pivotFields count="2">
    <pivotField axis="axisRow" showAll="0">
      <items count="16">
        <item x="1"/>
        <item h="1" x="9"/>
        <item h="1" x="11"/>
        <item h="1" x="8"/>
        <item h="1" x="10"/>
        <item h="1" x="6"/>
        <item h="1" x="7"/>
        <item h="1" x="5"/>
        <item h="1" x="3"/>
        <item h="1" x="2"/>
        <item h="1" x="12"/>
        <item h="1" x="13"/>
        <item h="1" x="14"/>
        <item h="1" x="4"/>
        <item h="1" x="0"/>
        <item t="default"/>
      </items>
    </pivotField>
    <pivotField dataField="1" numFmtId="1" showAll="0">
      <items count="16">
        <item x="14"/>
        <item x="11"/>
        <item x="4"/>
        <item x="6"/>
        <item x="10"/>
        <item h="1" x="7"/>
        <item h="1" x="13"/>
        <item h="1" x="2"/>
        <item h="1" x="5"/>
        <item h="1" x="12"/>
        <item x="8"/>
        <item h="1" x="3"/>
        <item h="1" x="1"/>
        <item h="1" x="9"/>
        <item h="1" x="0"/>
        <item t="default"/>
      </items>
    </pivotField>
  </pivotFields>
  <rowFields count="1">
    <field x="0"/>
  </rowFields>
  <rowItems count="2">
    <i>
      <x/>
    </i>
    <i t="grand">
      <x/>
    </i>
  </rowItems>
  <colItems count="1">
    <i/>
  </colItems>
  <dataFields count="1">
    <dataField name="Average of Average" fld="1" subtotal="average" baseField="0" baseItem="0"/>
  </dataFields>
  <formats count="1">
    <format dxfId="15">
      <pivotArea collapsedLevelsAreSubtotals="1" fieldPosition="0">
        <references count="1">
          <reference field="0" count="0"/>
        </references>
      </pivotArea>
    </format>
  </formats>
  <chartFormats count="24">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3"/>
          </reference>
        </references>
      </pivotArea>
    </chartFormat>
    <chartFormat chart="5" format="4">
      <pivotArea type="data" outline="0" fieldPosition="0">
        <references count="2">
          <reference field="4294967294" count="1" selected="0">
            <x v="0"/>
          </reference>
          <reference field="0" count="1" selected="0">
            <x v="8"/>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8"/>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5"/>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4"/>
          </reference>
        </references>
      </pivotArea>
    </chartFormat>
    <chartFormat chart="7" format="13">
      <pivotArea type="data" outline="0" fieldPosition="0">
        <references count="2">
          <reference field="4294967294" count="1" selected="0">
            <x v="0"/>
          </reference>
          <reference field="0" count="1" selected="0">
            <x v="11"/>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13"/>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 chart="7" format="17">
      <pivotArea type="data" outline="0" fieldPosition="0">
        <references count="2">
          <reference field="4294967294" count="1" selected="0">
            <x v="0"/>
          </reference>
          <reference field="0" count="1" selected="0">
            <x v="6"/>
          </reference>
        </references>
      </pivotArea>
    </chartFormat>
    <chartFormat chart="7" format="18">
      <pivotArea type="data" outline="0" fieldPosition="0">
        <references count="2">
          <reference field="4294967294" count="1" selected="0">
            <x v="0"/>
          </reference>
          <reference field="0" count="1" selected="0">
            <x v="9"/>
          </reference>
        </references>
      </pivotArea>
    </chartFormat>
    <chartFormat chart="7" format="19">
      <pivotArea type="data" outline="0" fieldPosition="0">
        <references count="2">
          <reference field="4294967294" count="1" selected="0">
            <x v="0"/>
          </reference>
          <reference field="0" count="1" selected="0">
            <x v="12"/>
          </reference>
        </references>
      </pivotArea>
    </chartFormat>
    <chartFormat chart="7" format="20">
      <pivotArea type="data" outline="0" fieldPosition="0">
        <references count="2">
          <reference field="4294967294" count="1" selected="0">
            <x v="0"/>
          </reference>
          <reference field="0" count="1" selected="0">
            <x v="10"/>
          </reference>
        </references>
      </pivotArea>
    </chartFormat>
    <chartFormat chart="7" format="21">
      <pivotArea type="data" outline="0" fieldPosition="0">
        <references count="2">
          <reference field="4294967294" count="1" selected="0">
            <x v="0"/>
          </reference>
          <reference field="0" count="1" selected="0">
            <x v="7"/>
          </reference>
        </references>
      </pivotArea>
    </chartFormat>
    <chartFormat chart="7" format="22">
      <pivotArea type="data" outline="0" fieldPosition="0">
        <references count="2">
          <reference field="4294967294" count="1" selected="0">
            <x v="0"/>
          </reference>
          <reference field="0" count="1" selected="0">
            <x v="4"/>
          </reference>
        </references>
      </pivotArea>
    </chartFormat>
    <chartFormat chart="12" format="23" series="1">
      <pivotArea type="data" outline="0" fieldPosition="0">
        <references count="1">
          <reference field="4294967294" count="1" selected="0">
            <x v="0"/>
          </reference>
        </references>
      </pivotArea>
    </chartFormat>
    <chartFormat chart="12" format="24">
      <pivotArea type="data" outline="0" fieldPosition="0">
        <references count="2">
          <reference field="4294967294" count="1" selected="0">
            <x v="0"/>
          </reference>
          <reference field="0" count="1" selected="0">
            <x v="8"/>
          </reference>
        </references>
      </pivotArea>
    </chartFormat>
    <chartFormat chart="13" format="27"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DF706-902B-439A-B27E-F218DB04F929}"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Ammonia Kg_Day" fld="0" baseField="0" baseItem="0"/>
    <dataField name="Sum of Hydrazine Kg_Day" fld="1" baseField="0" baseItem="0"/>
    <dataField name="Sum of DEHA Kg_Day" fld="2" baseField="0" baseItem="0"/>
    <dataField name="Sum of Phosphate_Dosage Kg_Day" fld="3"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bles" xr10:uid="{78F8A037-23FF-4102-8F10-60D25E320BBF}" sourceName="Variables">
  <pivotTables>
    <pivotTable tabId="22" name="PivotTable10"/>
  </pivotTables>
  <data>
    <tabular pivotCacheId="1984305950">
      <items count="15">
        <i x="1" s="1"/>
        <i x="9"/>
        <i x="11"/>
        <i x="8"/>
        <i x="10"/>
        <i x="6"/>
        <i x="7"/>
        <i x="5"/>
        <i x="3"/>
        <i x="2"/>
        <i x="12"/>
        <i x="13"/>
        <i x="14"/>
        <i x="4"/>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riables 1" xr10:uid="{F698A7F9-0C88-4BC9-90FE-3DB90F33C98C}" cache="Slicer_Variables" caption="Variables" columnCount="3" style="dash board"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riables" xr10:uid="{7FDAC683-3C5E-47A8-AD4C-AD1B64288484}" cache="Slicer_Variables" caption="Variables" columnCount="3" style="dash bo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C9A2D-075E-43A4-BCAB-D9A93C57FF16}" name="Table1" displayName="Table1" ref="A1:Q72" totalsRowShown="0" headerRowDxfId="36" headerRowBorderDxfId="35" tableBorderDxfId="34">
  <autoFilter ref="A1:Q72" xr:uid="{512C9A2D-075E-43A4-BCAB-D9A93C57FF16}"/>
  <tableColumns count="17">
    <tableColumn id="1" xr3:uid="{783D1229-182E-4F6A-A683-4FD212BC93F5}" name="Date" dataDxfId="33"/>
    <tableColumn id="2" xr3:uid="{AFA82DAC-39C4-48C4-B5F4-E6CB5921055A}" name="Load_MW Load" dataDxfId="32"/>
    <tableColumn id="3" xr3:uid="{07FFBE91-3D8D-4C81-BAD5-B586C9455D64}" name="Ignition Type" dataDxfId="31"/>
    <tableColumn id="4" xr3:uid="{9EF5202B-DA36-40A0-8202-3375CA6D114E}" name="Ammonia Kg_Day" dataDxfId="30"/>
    <tableColumn id="5" xr3:uid="{25EA73F6-AF94-4185-A6E1-33BF7E70527E}" name="Hydrazine Kg_Day" dataDxfId="29"/>
    <tableColumn id="6" xr3:uid="{EDE1D7B7-D84D-462B-9090-15CD7F39CECA}" name="DEHA Kg_Day" dataDxfId="28"/>
    <tableColumn id="7" xr3:uid="{2D1A41E1-CF53-4C2A-9B4C-22B0B17136A9}" name="Phosphate_Dosage_x000a_Kg_Day" dataDxfId="27"/>
    <tableColumn id="8" xr3:uid="{32C4A6B0-2729-43A5-98DC-EF683780211C}" name="Condensate Ph" dataDxfId="26"/>
    <tableColumn id="9" xr3:uid="{2ECFBB04-8D39-4950-8DA9-97F03ED1626B}" name="Condensate Cond" dataDxfId="25"/>
    <tableColumn id="10" xr3:uid="{79B85BB8-1975-47D1-BD58-B3EBE5B37DA1}" name="Condensate Do" dataDxfId="24"/>
    <tableColumn id="11" xr3:uid="{A5AD095D-4DAD-4104-8524-077E20BC470C}" name="Boiler_x000a_Ph" dataDxfId="23"/>
    <tableColumn id="12" xr3:uid="{6492235B-A895-4992-99D3-4F716373F7A0}" name="Boiler_x000a_Cond" dataDxfId="22"/>
    <tableColumn id="13" xr3:uid="{513A056A-B518-4979-97C0-79B3F5104E86}" name="Boiler_x000a_Po4" dataDxfId="21"/>
    <tableColumn id="14" xr3:uid="{8CE5A3D2-4418-4616-9B4F-4785F81F15B9}" name="Boiler_x000a_Fe" dataDxfId="20"/>
    <tableColumn id="15" xr3:uid="{1B0897CF-FA36-4401-814C-7602BD6AAAF0}" name="Main Steam  Ph" dataDxfId="19"/>
    <tableColumn id="16" xr3:uid="{FB9C2407-674F-423B-B972-F181A4AE06FF}" name="Main Steam Cond" dataDxfId="18"/>
    <tableColumn id="17" xr3:uid="{6DFBDE6F-78E0-4660-89B5-8D3372987848}" name="Main Steam Fe"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153C0-7BA4-4906-9702-9771680A0E19}" name="Table6" displayName="Table6" ref="L6:M21" totalsRowShown="0" headerRowBorderDxfId="14" tableBorderDxfId="13">
  <autoFilter ref="L6:M21" xr:uid="{451153C0-7BA4-4906-9702-9771680A0E19}"/>
  <tableColumns count="2">
    <tableColumn id="1" xr3:uid="{E676E141-2F04-4C0B-BF9B-EC01439FD0F5}" name="Variables" dataDxfId="12"/>
    <tableColumn id="2" xr3:uid="{69C5AECD-C260-4747-AE9D-69F3F403406F}" name="Average"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35AAB5-7D06-40D5-A43C-A842BA5DF846}" name="Table4" displayName="Table4" ref="A7:C11" totalsRowShown="0" dataDxfId="10">
  <autoFilter ref="A7:C11" xr:uid="{6535AAB5-7D06-40D5-A43C-A842BA5DF846}"/>
  <tableColumns count="3">
    <tableColumn id="1" xr3:uid="{F64D31F1-7305-4A70-9F11-88E9F3E3F743}" name="CHEMICHAL" dataDxfId="9"/>
    <tableColumn id="2" xr3:uid="{BE7B04DA-F5E1-430A-93D5-E753C2DC4DAB}" name="QUANTITY OF INJECTION" dataDxfId="8"/>
    <tableColumn id="3" xr3:uid="{6403C678-3EF4-4088-876E-181DAC985113}" name="DIFF" dataDxfId="7">
      <calculatedColumnFormula>1000-B8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F8DD-3945-487A-9229-E9EFC51D3F01}">
  <sheetPr>
    <tabColor rgb="FF0000FF"/>
  </sheetPr>
  <dimension ref="A1:Z80"/>
  <sheetViews>
    <sheetView tabSelected="1" view="pageBreakPreview" zoomScale="70" zoomScaleNormal="70" zoomScaleSheetLayoutView="70" workbookViewId="0">
      <selection sqref="A1:XFD1048576"/>
    </sheetView>
  </sheetViews>
  <sheetFormatPr defaultColWidth="0" defaultRowHeight="15" zeroHeight="1" x14ac:dyDescent="0.25"/>
  <cols>
    <col min="1" max="26" width="9.140625" style="96" customWidth="1"/>
    <col min="27" max="16384" width="9.140625" style="96" hidden="1"/>
  </cols>
  <sheetData>
    <row r="1" spans="1:26" ht="15" customHeight="1" x14ac:dyDescent="0.25">
      <c r="A1" s="103"/>
      <c r="B1" s="103"/>
      <c r="C1" s="104"/>
      <c r="D1" s="104"/>
      <c r="E1" s="104"/>
      <c r="F1" s="104"/>
      <c r="G1" s="104"/>
      <c r="H1" s="104"/>
      <c r="I1" s="104"/>
      <c r="J1" s="104"/>
      <c r="K1" s="104"/>
      <c r="L1" s="104"/>
      <c r="M1" s="104"/>
      <c r="N1" s="104"/>
      <c r="O1" s="104"/>
      <c r="P1" s="104"/>
      <c r="Q1" s="104"/>
      <c r="R1" s="104"/>
      <c r="S1" s="104"/>
      <c r="T1" s="104"/>
      <c r="U1" s="104"/>
      <c r="V1" s="104"/>
      <c r="W1" s="104"/>
      <c r="X1" s="104"/>
      <c r="Y1" s="104"/>
      <c r="Z1" s="104"/>
    </row>
    <row r="2" spans="1:26" ht="15" customHeight="1" x14ac:dyDescent="0.25">
      <c r="A2" s="103"/>
      <c r="B2" s="103"/>
      <c r="C2" s="104"/>
      <c r="D2" s="104"/>
      <c r="E2" s="104"/>
      <c r="F2" s="104"/>
      <c r="G2" s="104"/>
      <c r="H2" s="104"/>
      <c r="I2" s="104"/>
      <c r="J2" s="104"/>
      <c r="K2" s="104"/>
      <c r="L2" s="104"/>
      <c r="M2" s="104"/>
      <c r="N2" s="104"/>
      <c r="O2" s="104"/>
      <c r="P2" s="104"/>
      <c r="Q2" s="104"/>
      <c r="R2" s="104"/>
      <c r="S2" s="104"/>
      <c r="T2" s="104"/>
      <c r="U2" s="104"/>
      <c r="V2" s="104"/>
      <c r="W2" s="104"/>
      <c r="X2" s="104"/>
      <c r="Y2" s="104"/>
      <c r="Z2" s="104"/>
    </row>
    <row r="3" spans="1:26" ht="15.75" customHeight="1" x14ac:dyDescent="0.25">
      <c r="A3" s="103"/>
      <c r="B3" s="103"/>
      <c r="C3" s="104"/>
      <c r="D3" s="104"/>
      <c r="E3" s="104"/>
      <c r="F3" s="104"/>
      <c r="G3" s="104"/>
      <c r="H3" s="104"/>
      <c r="I3" s="104"/>
      <c r="J3" s="104"/>
      <c r="K3" s="104"/>
      <c r="L3" s="104"/>
      <c r="M3" s="104"/>
      <c r="N3" s="104"/>
      <c r="O3" s="104"/>
      <c r="P3" s="104"/>
      <c r="Q3" s="104"/>
      <c r="R3" s="104"/>
      <c r="S3" s="104"/>
      <c r="T3" s="104"/>
      <c r="U3" s="104"/>
      <c r="V3" s="104"/>
      <c r="W3" s="104"/>
      <c r="X3" s="104"/>
      <c r="Y3" s="104"/>
      <c r="Z3" s="104"/>
    </row>
    <row r="4" spans="1:26" x14ac:dyDescent="0.25"/>
    <row r="5" spans="1:26" x14ac:dyDescent="0.25"/>
    <row r="6" spans="1:26" x14ac:dyDescent="0.25"/>
    <row r="7" spans="1:26" x14ac:dyDescent="0.25"/>
    <row r="8" spans="1:26" x14ac:dyDescent="0.25"/>
    <row r="9" spans="1:26" x14ac:dyDescent="0.25"/>
    <row r="10" spans="1:26" x14ac:dyDescent="0.25"/>
    <row r="11" spans="1:26" x14ac:dyDescent="0.25"/>
    <row r="12" spans="1:26" x14ac:dyDescent="0.25"/>
    <row r="13" spans="1:26" x14ac:dyDescent="0.25"/>
    <row r="14" spans="1:26" x14ac:dyDescent="0.25"/>
    <row r="15" spans="1:26" x14ac:dyDescent="0.25"/>
    <row r="16" spans="1:2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s="96" customFormat="1" x14ac:dyDescent="0.25"/>
    <row r="34" s="96" customFormat="1" x14ac:dyDescent="0.25"/>
    <row r="35" s="96" customFormat="1" x14ac:dyDescent="0.25"/>
    <row r="36" s="96" customFormat="1" x14ac:dyDescent="0.25"/>
    <row r="37" s="96" customFormat="1" x14ac:dyDescent="0.25"/>
    <row r="38" s="96" customFormat="1" x14ac:dyDescent="0.25"/>
    <row r="39" s="96" customFormat="1" x14ac:dyDescent="0.25"/>
    <row r="40" s="96" customFormat="1" x14ac:dyDescent="0.25"/>
    <row r="41" s="96" customFormat="1" x14ac:dyDescent="0.25"/>
    <row r="42" s="96" customFormat="1" x14ac:dyDescent="0.25"/>
    <row r="43" s="96" customFormat="1" x14ac:dyDescent="0.25"/>
    <row r="44" s="96" customFormat="1" x14ac:dyDescent="0.25"/>
    <row r="45" s="96" customFormat="1" x14ac:dyDescent="0.25"/>
    <row r="46" s="96" customFormat="1" x14ac:dyDescent="0.25"/>
    <row r="47" s="96" customFormat="1" x14ac:dyDescent="0.25"/>
    <row r="48" s="96" customFormat="1" x14ac:dyDescent="0.25"/>
    <row r="49" s="96" customFormat="1" x14ac:dyDescent="0.25"/>
    <row r="50" s="96" customFormat="1" x14ac:dyDescent="0.25"/>
    <row r="51" s="96" customFormat="1" x14ac:dyDescent="0.25"/>
    <row r="52" s="96" customFormat="1" x14ac:dyDescent="0.25"/>
    <row r="53" s="96" customFormat="1" x14ac:dyDescent="0.25"/>
    <row r="54" s="96" customFormat="1" x14ac:dyDescent="0.25"/>
    <row r="55" s="96" customFormat="1" x14ac:dyDescent="0.25"/>
    <row r="56" s="96" customFormat="1" x14ac:dyDescent="0.25"/>
    <row r="57" s="96" customFormat="1" x14ac:dyDescent="0.25"/>
    <row r="58" s="96" customFormat="1" x14ac:dyDescent="0.25"/>
    <row r="59" s="96" customFormat="1" x14ac:dyDescent="0.25"/>
    <row r="60" s="96" customFormat="1" x14ac:dyDescent="0.25"/>
    <row r="61" s="96" customFormat="1" x14ac:dyDescent="0.25"/>
    <row r="62" s="96" customFormat="1" x14ac:dyDescent="0.25"/>
    <row r="63" s="96" customFormat="1" x14ac:dyDescent="0.25"/>
    <row r="64" s="96" customFormat="1" x14ac:dyDescent="0.25"/>
    <row r="65" s="96" customFormat="1" x14ac:dyDescent="0.25"/>
    <row r="66" s="96" customFormat="1" x14ac:dyDescent="0.25"/>
    <row r="67" s="96" customFormat="1" x14ac:dyDescent="0.25"/>
    <row r="68" s="96" customFormat="1" x14ac:dyDescent="0.25"/>
    <row r="69" s="96" customFormat="1" x14ac:dyDescent="0.25"/>
    <row r="70" s="96" customFormat="1" x14ac:dyDescent="0.25"/>
    <row r="71" s="96" customFormat="1" x14ac:dyDescent="0.25"/>
    <row r="72" s="96" customFormat="1" x14ac:dyDescent="0.25"/>
    <row r="73" s="96" customFormat="1" x14ac:dyDescent="0.25"/>
    <row r="74" s="96" customFormat="1" x14ac:dyDescent="0.25"/>
    <row r="75" s="96" customFormat="1" x14ac:dyDescent="0.25"/>
    <row r="76" s="96" customFormat="1" x14ac:dyDescent="0.25"/>
    <row r="77" s="96" customFormat="1" x14ac:dyDescent="0.25"/>
    <row r="78" s="96" customFormat="1" x14ac:dyDescent="0.25"/>
    <row r="79" x14ac:dyDescent="0.25"/>
    <row r="80" x14ac:dyDescent="0.25"/>
  </sheetData>
  <sheetProtection algorithmName="SHA-512" hashValue="JwjvXwxgY6RKUDFk6/axhalt00scbmAKxu+LM0++43Bjjh+IstIegkWijShsgCIZz8ccuNgJIHs2P96yl2UOmw==" saltValue="CSRw1azUO0AiHhg7Vhipgg==" spinCount="100000" sheet="1"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V85"/>
  <sheetViews>
    <sheetView topLeftCell="J1" workbookViewId="0"/>
  </sheetViews>
  <sheetFormatPr defaultRowHeight="15" x14ac:dyDescent="0.25"/>
  <cols>
    <col min="1" max="1" width="12.140625" style="6" bestFit="1" customWidth="1"/>
    <col min="2" max="2" width="13.85546875" customWidth="1"/>
    <col min="3" max="3" width="11.7109375" customWidth="1"/>
    <col min="4" max="4" width="13.85546875" customWidth="1"/>
    <col min="5" max="5" width="15.42578125" customWidth="1"/>
    <col min="6" max="6" width="13.42578125" style="2" customWidth="1"/>
    <col min="7" max="7" width="14" style="2" customWidth="1"/>
    <col min="8" max="8" width="16.7109375" customWidth="1"/>
    <col min="9" max="9" width="16.5703125" customWidth="1"/>
    <col min="10" max="10" width="16.140625" customWidth="1"/>
    <col min="11" max="11" width="12.85546875" customWidth="1"/>
    <col min="12" max="12" width="15.5703125" customWidth="1"/>
    <col min="13" max="13" width="14.42578125" customWidth="1"/>
    <col min="14" max="14" width="13.85546875" customWidth="1"/>
    <col min="15" max="15" width="13.140625" customWidth="1"/>
    <col min="16" max="16" width="15.140625" customWidth="1"/>
    <col min="17" max="17" width="11.5703125" customWidth="1"/>
    <col min="20" max="20" width="13.85546875" customWidth="1"/>
    <col min="21" max="21" width="17.5703125" customWidth="1"/>
  </cols>
  <sheetData>
    <row r="1" spans="1:21" s="1" customFormat="1" ht="69" customHeight="1" thickBot="1" x14ac:dyDescent="0.3">
      <c r="A1" s="85" t="s">
        <v>2</v>
      </c>
      <c r="B1" s="86" t="s">
        <v>16</v>
      </c>
      <c r="C1" s="87" t="s">
        <v>3</v>
      </c>
      <c r="D1" s="87" t="s">
        <v>27</v>
      </c>
      <c r="E1" s="87" t="s">
        <v>4</v>
      </c>
      <c r="F1" s="88" t="s">
        <v>5</v>
      </c>
      <c r="G1" s="88" t="s">
        <v>28</v>
      </c>
      <c r="H1" s="89" t="s">
        <v>6</v>
      </c>
      <c r="I1" s="87" t="s">
        <v>7</v>
      </c>
      <c r="J1" s="89" t="s">
        <v>8</v>
      </c>
      <c r="K1" s="87" t="s">
        <v>12</v>
      </c>
      <c r="L1" s="89" t="s">
        <v>13</v>
      </c>
      <c r="M1" s="87" t="s">
        <v>14</v>
      </c>
      <c r="N1" s="89" t="s">
        <v>15</v>
      </c>
      <c r="O1" s="87" t="s">
        <v>9</v>
      </c>
      <c r="P1" s="89" t="s">
        <v>10</v>
      </c>
      <c r="Q1" s="90" t="s">
        <v>11</v>
      </c>
      <c r="T1"/>
      <c r="U1"/>
    </row>
    <row r="2" spans="1:21" ht="18.75" x14ac:dyDescent="0.25">
      <c r="A2" s="79">
        <v>45296</v>
      </c>
      <c r="B2" s="8">
        <v>480</v>
      </c>
      <c r="C2" s="9" t="s">
        <v>0</v>
      </c>
      <c r="D2" s="9">
        <v>12.5</v>
      </c>
      <c r="E2" s="9">
        <v>12.5</v>
      </c>
      <c r="F2" s="10">
        <v>0</v>
      </c>
      <c r="G2" s="10">
        <v>3.5</v>
      </c>
      <c r="H2" s="8">
        <v>9.4</v>
      </c>
      <c r="I2" s="9">
        <v>3.6</v>
      </c>
      <c r="J2" s="8">
        <v>6.2</v>
      </c>
      <c r="K2" s="9">
        <v>9.6</v>
      </c>
      <c r="L2" s="8">
        <v>12.5</v>
      </c>
      <c r="M2" s="9">
        <v>3.2</v>
      </c>
      <c r="N2" s="8">
        <v>2.1</v>
      </c>
      <c r="O2" s="9">
        <v>9.4</v>
      </c>
      <c r="P2" s="8">
        <v>5.8</v>
      </c>
      <c r="Q2" s="82">
        <v>1.2</v>
      </c>
    </row>
    <row r="3" spans="1:21" ht="18.75" x14ac:dyDescent="0.25">
      <c r="A3" s="80">
        <v>45301</v>
      </c>
      <c r="B3" s="11">
        <v>490</v>
      </c>
      <c r="C3" s="12" t="s">
        <v>0</v>
      </c>
      <c r="D3" s="12">
        <v>12.5</v>
      </c>
      <c r="E3" s="12">
        <v>11.8</v>
      </c>
      <c r="F3" s="13">
        <v>6</v>
      </c>
      <c r="G3" s="13">
        <v>3.5</v>
      </c>
      <c r="H3" s="11">
        <v>9.3000000000000007</v>
      </c>
      <c r="I3" s="12">
        <v>3.8</v>
      </c>
      <c r="J3" s="11">
        <v>5.8</v>
      </c>
      <c r="K3" s="12">
        <v>9.5</v>
      </c>
      <c r="L3" s="11">
        <v>13.1</v>
      </c>
      <c r="M3" s="12">
        <v>3.5</v>
      </c>
      <c r="N3" s="11">
        <v>1.8</v>
      </c>
      <c r="O3" s="12">
        <v>9.3000000000000007</v>
      </c>
      <c r="P3" s="11">
        <v>6.2</v>
      </c>
      <c r="Q3" s="83">
        <v>0.9</v>
      </c>
    </row>
    <row r="4" spans="1:21" ht="15.75" customHeight="1" x14ac:dyDescent="0.25">
      <c r="A4" s="80">
        <v>45306</v>
      </c>
      <c r="B4" s="11">
        <v>470</v>
      </c>
      <c r="C4" s="12" t="s">
        <v>1</v>
      </c>
      <c r="D4" s="12">
        <v>9</v>
      </c>
      <c r="E4" s="12">
        <v>15</v>
      </c>
      <c r="F4" s="13">
        <v>7</v>
      </c>
      <c r="G4" s="13">
        <v>2.5</v>
      </c>
      <c r="H4" s="11">
        <v>8.1</v>
      </c>
      <c r="I4" s="12">
        <v>3.3</v>
      </c>
      <c r="J4" s="11">
        <v>4.5</v>
      </c>
      <c r="K4" s="12">
        <v>9.6999999999999993</v>
      </c>
      <c r="L4" s="11">
        <v>11.9</v>
      </c>
      <c r="M4" s="12">
        <v>4.2</v>
      </c>
      <c r="N4" s="11">
        <v>5.3</v>
      </c>
      <c r="O4" s="12">
        <v>9.5</v>
      </c>
      <c r="P4" s="11">
        <v>4.5</v>
      </c>
      <c r="Q4" s="83">
        <v>1.8</v>
      </c>
    </row>
    <row r="5" spans="1:21" ht="18.75" x14ac:dyDescent="0.25">
      <c r="A5" s="80">
        <v>45311</v>
      </c>
      <c r="B5" s="11">
        <v>500</v>
      </c>
      <c r="C5" s="12" t="s">
        <v>1</v>
      </c>
      <c r="D5" s="12">
        <v>9</v>
      </c>
      <c r="E5" s="12">
        <v>14.5</v>
      </c>
      <c r="F5" s="13">
        <v>2</v>
      </c>
      <c r="G5" s="13">
        <v>2.5</v>
      </c>
      <c r="H5" s="11">
        <v>9.1999999999999993</v>
      </c>
      <c r="I5" s="12">
        <v>4</v>
      </c>
      <c r="J5" s="11">
        <v>7.5</v>
      </c>
      <c r="K5" s="12">
        <v>9.4</v>
      </c>
      <c r="L5" s="11">
        <v>14</v>
      </c>
      <c r="M5" s="12">
        <v>4.5</v>
      </c>
      <c r="N5" s="11">
        <v>3.8</v>
      </c>
      <c r="O5" s="12">
        <v>9.1999999999999993</v>
      </c>
      <c r="P5" s="11">
        <v>7.2</v>
      </c>
      <c r="Q5" s="83">
        <v>2.2000000000000002</v>
      </c>
    </row>
    <row r="6" spans="1:21" ht="18.75" x14ac:dyDescent="0.25">
      <c r="A6" s="80">
        <v>45316</v>
      </c>
      <c r="B6" s="11">
        <v>510</v>
      </c>
      <c r="C6" s="12" t="s">
        <v>0</v>
      </c>
      <c r="D6" s="12">
        <v>12</v>
      </c>
      <c r="E6" s="12">
        <v>14.2</v>
      </c>
      <c r="F6" s="13">
        <v>3</v>
      </c>
      <c r="G6" s="13">
        <v>3.2</v>
      </c>
      <c r="H6" s="11">
        <v>9.1999999999999993</v>
      </c>
      <c r="I6" s="12">
        <v>3.9</v>
      </c>
      <c r="J6" s="11">
        <v>7.1</v>
      </c>
      <c r="K6" s="12">
        <v>8</v>
      </c>
      <c r="L6" s="11">
        <v>13.8</v>
      </c>
      <c r="M6" s="12">
        <v>3.8</v>
      </c>
      <c r="N6" s="11">
        <v>2.8</v>
      </c>
      <c r="O6" s="12">
        <v>9.1999999999999993</v>
      </c>
      <c r="P6" s="11">
        <v>7.1</v>
      </c>
      <c r="Q6" s="83">
        <v>1.5</v>
      </c>
      <c r="U6" s="1"/>
    </row>
    <row r="7" spans="1:21" ht="19.5" thickBot="1" x14ac:dyDescent="0.3">
      <c r="A7" s="81">
        <v>45321</v>
      </c>
      <c r="B7" s="14">
        <v>495</v>
      </c>
      <c r="C7" s="15" t="s">
        <v>1</v>
      </c>
      <c r="D7" s="15">
        <v>12</v>
      </c>
      <c r="E7" s="15">
        <v>13.8</v>
      </c>
      <c r="F7" s="16">
        <v>0</v>
      </c>
      <c r="G7" s="16">
        <v>3.2</v>
      </c>
      <c r="H7" s="14">
        <v>9.1</v>
      </c>
      <c r="I7" s="15">
        <v>4.2</v>
      </c>
      <c r="J7" s="14">
        <v>6.8</v>
      </c>
      <c r="K7" s="15">
        <v>9.3000000000000007</v>
      </c>
      <c r="L7" s="14">
        <v>14.2</v>
      </c>
      <c r="M7" s="15">
        <v>4.3</v>
      </c>
      <c r="N7" s="14">
        <v>3.2</v>
      </c>
      <c r="O7" s="15">
        <v>9.1</v>
      </c>
      <c r="P7" s="14">
        <v>7.5</v>
      </c>
      <c r="Q7" s="84">
        <v>1.9</v>
      </c>
      <c r="U7" s="1"/>
    </row>
    <row r="8" spans="1:21" ht="18.75" x14ac:dyDescent="0.25">
      <c r="A8" s="79">
        <v>45327</v>
      </c>
      <c r="B8" s="8">
        <v>495</v>
      </c>
      <c r="C8" s="9" t="s">
        <v>1</v>
      </c>
      <c r="D8" s="9">
        <v>12</v>
      </c>
      <c r="E8" s="9">
        <v>8.5</v>
      </c>
      <c r="F8" s="10">
        <v>3</v>
      </c>
      <c r="G8" s="10">
        <v>3.2</v>
      </c>
      <c r="H8" s="8">
        <v>9.3000000000000007</v>
      </c>
      <c r="I8" s="9">
        <v>3.7</v>
      </c>
      <c r="J8" s="8">
        <v>5.9</v>
      </c>
      <c r="K8" s="9">
        <v>9.5</v>
      </c>
      <c r="L8" s="8">
        <v>12.9</v>
      </c>
      <c r="M8" s="9">
        <v>3.1</v>
      </c>
      <c r="N8" s="8">
        <v>2.2999999999999998</v>
      </c>
      <c r="O8" s="9">
        <v>9.3000000000000007</v>
      </c>
      <c r="P8" s="8">
        <v>6.5</v>
      </c>
      <c r="Q8" s="82">
        <v>1.1000000000000001</v>
      </c>
      <c r="U8" s="1"/>
    </row>
    <row r="9" spans="1:21" ht="18.75" x14ac:dyDescent="0.25">
      <c r="A9" s="80">
        <v>45332</v>
      </c>
      <c r="B9" s="11">
        <v>505</v>
      </c>
      <c r="C9" s="12" t="s">
        <v>0</v>
      </c>
      <c r="D9" s="12">
        <v>9.5</v>
      </c>
      <c r="E9" s="12">
        <v>7.2</v>
      </c>
      <c r="F9" s="13">
        <v>4</v>
      </c>
      <c r="G9" s="13">
        <v>2.8</v>
      </c>
      <c r="H9" s="11">
        <v>9.4</v>
      </c>
      <c r="I9" s="12">
        <v>3.5</v>
      </c>
      <c r="J9" s="11">
        <v>4.8</v>
      </c>
      <c r="K9" s="12">
        <v>9.6</v>
      </c>
      <c r="L9" s="11">
        <v>12.2</v>
      </c>
      <c r="M9" s="12">
        <v>3.7</v>
      </c>
      <c r="N9" s="11">
        <v>1.9</v>
      </c>
      <c r="O9" s="12">
        <v>9.4</v>
      </c>
      <c r="P9" s="11">
        <v>5.2</v>
      </c>
      <c r="Q9" s="83">
        <v>0.8</v>
      </c>
      <c r="U9" s="1"/>
    </row>
    <row r="10" spans="1:21" ht="18.75" x14ac:dyDescent="0.25">
      <c r="A10" s="80">
        <v>45337</v>
      </c>
      <c r="B10" s="11">
        <v>500</v>
      </c>
      <c r="C10" s="12" t="s">
        <v>1</v>
      </c>
      <c r="D10" s="12">
        <v>9.5</v>
      </c>
      <c r="E10" s="12">
        <v>5.2</v>
      </c>
      <c r="F10" s="13">
        <v>6</v>
      </c>
      <c r="G10" s="13">
        <v>2.8</v>
      </c>
      <c r="H10" s="11">
        <v>9.1</v>
      </c>
      <c r="I10" s="12">
        <v>4.0999999999999996</v>
      </c>
      <c r="J10" s="11">
        <v>6.5</v>
      </c>
      <c r="K10" s="12">
        <v>9.3000000000000007</v>
      </c>
      <c r="L10" s="11">
        <v>14.2</v>
      </c>
      <c r="M10" s="12">
        <v>4.5</v>
      </c>
      <c r="N10" s="11">
        <v>3.5</v>
      </c>
      <c r="O10" s="12">
        <v>9.1</v>
      </c>
      <c r="P10" s="11">
        <v>7.8</v>
      </c>
      <c r="Q10" s="83">
        <v>1.9</v>
      </c>
      <c r="U10" s="1"/>
    </row>
    <row r="11" spans="1:21" ht="18.75" x14ac:dyDescent="0.25">
      <c r="A11" s="80">
        <v>45342</v>
      </c>
      <c r="B11" s="11">
        <v>485</v>
      </c>
      <c r="C11" s="12" t="s">
        <v>1</v>
      </c>
      <c r="D11" s="12">
        <v>13</v>
      </c>
      <c r="E11" s="12">
        <v>3.2</v>
      </c>
      <c r="F11" s="13">
        <v>8</v>
      </c>
      <c r="G11" s="13">
        <v>3.8</v>
      </c>
      <c r="H11" s="11">
        <v>9.1999999999999993</v>
      </c>
      <c r="I11" s="12">
        <v>3.8</v>
      </c>
      <c r="J11" s="11">
        <v>5.7</v>
      </c>
      <c r="K11" s="12">
        <v>9.4</v>
      </c>
      <c r="L11" s="11">
        <v>13.5</v>
      </c>
      <c r="M11" s="12">
        <v>4.2</v>
      </c>
      <c r="N11" s="11">
        <v>2.9</v>
      </c>
      <c r="O11" s="12">
        <v>9.1999999999999993</v>
      </c>
      <c r="P11" s="11">
        <v>6.9</v>
      </c>
      <c r="Q11" s="83">
        <v>1.6</v>
      </c>
    </row>
    <row r="12" spans="1:21" ht="19.5" thickBot="1" x14ac:dyDescent="0.3">
      <c r="A12" s="81">
        <v>45347</v>
      </c>
      <c r="B12" s="14">
        <v>510</v>
      </c>
      <c r="C12" s="15" t="s">
        <v>0</v>
      </c>
      <c r="D12" s="15">
        <v>13</v>
      </c>
      <c r="E12" s="15">
        <v>1.5</v>
      </c>
      <c r="F12" s="16">
        <v>9</v>
      </c>
      <c r="G12" s="16">
        <v>3.8</v>
      </c>
      <c r="H12" s="14">
        <v>9.5</v>
      </c>
      <c r="I12" s="15">
        <v>3.4</v>
      </c>
      <c r="J12" s="14">
        <v>4</v>
      </c>
      <c r="K12" s="15">
        <v>9.6999999999999993</v>
      </c>
      <c r="L12" s="14">
        <v>11.8</v>
      </c>
      <c r="M12" s="15">
        <v>3.4</v>
      </c>
      <c r="N12" s="14">
        <v>1.5</v>
      </c>
      <c r="O12" s="15">
        <v>9.5</v>
      </c>
      <c r="P12" s="14">
        <v>4.7</v>
      </c>
      <c r="Q12" s="84">
        <v>0.6</v>
      </c>
    </row>
    <row r="13" spans="1:21" ht="18.75" x14ac:dyDescent="0.25">
      <c r="A13" s="79">
        <v>45352</v>
      </c>
      <c r="B13" s="8">
        <v>495</v>
      </c>
      <c r="C13" s="9" t="s">
        <v>0</v>
      </c>
      <c r="D13" s="9">
        <v>13</v>
      </c>
      <c r="E13" s="9">
        <v>6.7</v>
      </c>
      <c r="F13" s="10">
        <v>6</v>
      </c>
      <c r="G13" s="10">
        <v>3.8</v>
      </c>
      <c r="H13" s="8">
        <v>9.4</v>
      </c>
      <c r="I13" s="9">
        <v>3.4</v>
      </c>
      <c r="J13" s="8">
        <v>4.2</v>
      </c>
      <c r="K13" s="9">
        <v>9.6999999999999993</v>
      </c>
      <c r="L13" s="8">
        <v>13.3</v>
      </c>
      <c r="M13" s="9">
        <v>3.6</v>
      </c>
      <c r="N13" s="8">
        <v>6.7</v>
      </c>
      <c r="O13" s="9">
        <v>9.4</v>
      </c>
      <c r="P13" s="8">
        <v>4.8</v>
      </c>
      <c r="Q13" s="82">
        <v>0.7</v>
      </c>
    </row>
    <row r="14" spans="1:21" ht="18.75" x14ac:dyDescent="0.25">
      <c r="A14" s="80">
        <v>45361</v>
      </c>
      <c r="B14" s="11">
        <v>500</v>
      </c>
      <c r="C14" s="12" t="s">
        <v>0</v>
      </c>
      <c r="D14" s="12">
        <v>12.8</v>
      </c>
      <c r="E14" s="12">
        <v>5.8</v>
      </c>
      <c r="F14" s="13">
        <v>9</v>
      </c>
      <c r="G14" s="13">
        <v>3.6</v>
      </c>
      <c r="H14" s="21">
        <v>9.3000000000000007</v>
      </c>
      <c r="I14" s="12">
        <v>3.6</v>
      </c>
      <c r="J14" s="11">
        <v>3.9</v>
      </c>
      <c r="K14" s="12">
        <v>9.6</v>
      </c>
      <c r="L14" s="11">
        <v>11.8</v>
      </c>
      <c r="M14" s="12">
        <v>2.9</v>
      </c>
      <c r="N14" s="11">
        <v>1.4</v>
      </c>
      <c r="O14" s="12">
        <v>9.5</v>
      </c>
      <c r="P14" s="11">
        <v>5.0999999999999996</v>
      </c>
      <c r="Q14" s="83">
        <v>0.6</v>
      </c>
    </row>
    <row r="15" spans="1:21" ht="18.75" x14ac:dyDescent="0.25">
      <c r="A15" s="80">
        <v>45366</v>
      </c>
      <c r="B15" s="11">
        <v>490</v>
      </c>
      <c r="C15" s="12" t="s">
        <v>1</v>
      </c>
      <c r="D15" s="12">
        <v>12.8</v>
      </c>
      <c r="E15" s="12">
        <v>5.8</v>
      </c>
      <c r="F15" s="13">
        <v>12</v>
      </c>
      <c r="G15" s="13">
        <v>3.6</v>
      </c>
      <c r="H15" s="11">
        <v>9.3000000000000007</v>
      </c>
      <c r="I15" s="12">
        <v>3.9</v>
      </c>
      <c r="J15" s="11">
        <v>5.0999999999999996</v>
      </c>
      <c r="K15" s="12">
        <v>9.5</v>
      </c>
      <c r="L15" s="11">
        <v>13.9</v>
      </c>
      <c r="M15" s="12">
        <v>4.8</v>
      </c>
      <c r="N15" s="11">
        <v>2.5</v>
      </c>
      <c r="O15" s="12">
        <v>9.3000000000000007</v>
      </c>
      <c r="P15" s="11">
        <v>7.2</v>
      </c>
      <c r="Q15" s="83">
        <v>1.3</v>
      </c>
    </row>
    <row r="16" spans="1:21" ht="18.75" x14ac:dyDescent="0.25">
      <c r="A16" s="80">
        <v>45376</v>
      </c>
      <c r="B16" s="11">
        <v>515</v>
      </c>
      <c r="C16" s="12" t="s">
        <v>1</v>
      </c>
      <c r="D16" s="12">
        <v>9.1999999999999993</v>
      </c>
      <c r="E16" s="12">
        <v>15</v>
      </c>
      <c r="F16" s="13">
        <v>13</v>
      </c>
      <c r="G16" s="13">
        <v>2.6</v>
      </c>
      <c r="H16" s="11">
        <v>9.1999999999999993</v>
      </c>
      <c r="I16" s="12">
        <v>4.0999999999999996</v>
      </c>
      <c r="J16" s="11">
        <v>6.2</v>
      </c>
      <c r="K16" s="12">
        <v>9.4</v>
      </c>
      <c r="L16" s="11">
        <v>14.3</v>
      </c>
      <c r="M16" s="12">
        <v>5</v>
      </c>
      <c r="N16" s="11">
        <v>3.8</v>
      </c>
      <c r="O16" s="12">
        <v>9.1999999999999993</v>
      </c>
      <c r="P16" s="11">
        <v>7.8</v>
      </c>
      <c r="Q16" s="83">
        <v>1.9</v>
      </c>
    </row>
    <row r="17" spans="1:17" ht="18.75" x14ac:dyDescent="0.25">
      <c r="A17" s="80">
        <v>45372</v>
      </c>
      <c r="B17" s="11">
        <v>470</v>
      </c>
      <c r="C17" s="12" t="s">
        <v>0</v>
      </c>
      <c r="D17" s="12">
        <v>9.1999999999999993</v>
      </c>
      <c r="E17" s="12">
        <v>7.3</v>
      </c>
      <c r="F17" s="13">
        <v>17</v>
      </c>
      <c r="G17" s="13">
        <v>2.6</v>
      </c>
      <c r="H17" s="11">
        <v>9.5</v>
      </c>
      <c r="I17" s="12">
        <v>3.5</v>
      </c>
      <c r="J17" s="11">
        <v>4.0999999999999996</v>
      </c>
      <c r="K17" s="12">
        <v>9.6999999999999993</v>
      </c>
      <c r="L17" s="11">
        <v>12</v>
      </c>
      <c r="M17" s="12">
        <v>3.3</v>
      </c>
      <c r="N17" s="11">
        <v>1.6</v>
      </c>
      <c r="O17" s="12">
        <v>9.5</v>
      </c>
      <c r="P17" s="11">
        <v>5</v>
      </c>
      <c r="Q17" s="83">
        <v>7.3</v>
      </c>
    </row>
    <row r="18" spans="1:17" ht="19.5" thickBot="1" x14ac:dyDescent="0.3">
      <c r="A18" s="81">
        <v>45381</v>
      </c>
      <c r="B18" s="14">
        <v>495</v>
      </c>
      <c r="C18" s="15" t="s">
        <v>1</v>
      </c>
      <c r="D18" s="15">
        <v>12.2</v>
      </c>
      <c r="E18" s="15">
        <v>6.7</v>
      </c>
      <c r="F18" s="16">
        <v>6</v>
      </c>
      <c r="G18" s="16">
        <v>3.3</v>
      </c>
      <c r="H18" s="14">
        <v>9.1999999999999993</v>
      </c>
      <c r="I18" s="15">
        <v>4</v>
      </c>
      <c r="J18" s="14">
        <v>6.8</v>
      </c>
      <c r="K18" s="15">
        <v>9.4</v>
      </c>
      <c r="L18" s="14">
        <v>10</v>
      </c>
      <c r="M18" s="15">
        <v>4.4000000000000004</v>
      </c>
      <c r="N18" s="14">
        <v>3.6</v>
      </c>
      <c r="O18" s="15">
        <v>9.1999999999999993</v>
      </c>
      <c r="P18" s="14">
        <v>7.5</v>
      </c>
      <c r="Q18" s="84">
        <v>6.7</v>
      </c>
    </row>
    <row r="19" spans="1:17" ht="18.75" x14ac:dyDescent="0.25">
      <c r="A19" s="79">
        <v>45387</v>
      </c>
      <c r="B19" s="8">
        <v>510</v>
      </c>
      <c r="C19" s="9" t="s">
        <v>0</v>
      </c>
      <c r="D19" s="9">
        <v>12.2</v>
      </c>
      <c r="E19" s="9">
        <v>14.2</v>
      </c>
      <c r="F19" s="10">
        <v>10</v>
      </c>
      <c r="G19" s="10">
        <v>3.3</v>
      </c>
      <c r="H19" s="8">
        <v>9.3000000000000007</v>
      </c>
      <c r="I19" s="9">
        <v>3.5</v>
      </c>
      <c r="J19" s="8">
        <v>4.5</v>
      </c>
      <c r="K19" s="9">
        <v>9.6</v>
      </c>
      <c r="L19" s="8">
        <v>12.3</v>
      </c>
      <c r="M19" s="9">
        <v>3.3</v>
      </c>
      <c r="N19" s="8">
        <v>1.8</v>
      </c>
      <c r="O19" s="9">
        <v>9.3000000000000007</v>
      </c>
      <c r="P19" s="8">
        <v>5.3</v>
      </c>
      <c r="Q19" s="82">
        <v>0.8</v>
      </c>
    </row>
    <row r="20" spans="1:17" ht="18.75" x14ac:dyDescent="0.25">
      <c r="A20" s="80">
        <v>45392</v>
      </c>
      <c r="B20" s="11">
        <v>500</v>
      </c>
      <c r="C20" s="12" t="s">
        <v>0</v>
      </c>
      <c r="D20" s="12">
        <v>12.2</v>
      </c>
      <c r="E20" s="12">
        <v>13.8</v>
      </c>
      <c r="F20" s="13">
        <v>9</v>
      </c>
      <c r="G20" s="13">
        <v>3.3</v>
      </c>
      <c r="H20" s="11">
        <v>9.5</v>
      </c>
      <c r="I20" s="12">
        <v>3.7</v>
      </c>
      <c r="J20" s="11">
        <v>3.7</v>
      </c>
      <c r="K20" s="12">
        <v>9.8000000000000007</v>
      </c>
      <c r="L20" s="11">
        <v>11.5</v>
      </c>
      <c r="M20" s="12">
        <v>2.8</v>
      </c>
      <c r="N20" s="11">
        <v>1.2</v>
      </c>
      <c r="O20" s="12">
        <v>9.6</v>
      </c>
      <c r="P20" s="11">
        <v>4.9000000000000004</v>
      </c>
      <c r="Q20" s="83">
        <v>0.5</v>
      </c>
    </row>
    <row r="21" spans="1:17" ht="18.75" x14ac:dyDescent="0.25">
      <c r="A21" s="80">
        <v>45397</v>
      </c>
      <c r="B21" s="11">
        <v>485</v>
      </c>
      <c r="C21" s="12" t="s">
        <v>1</v>
      </c>
      <c r="D21" s="12">
        <v>9.4</v>
      </c>
      <c r="E21" s="12">
        <v>8.5</v>
      </c>
      <c r="F21" s="13">
        <v>12</v>
      </c>
      <c r="G21" s="13">
        <v>2.7</v>
      </c>
      <c r="H21" s="11">
        <v>9.1</v>
      </c>
      <c r="I21" s="12">
        <v>4.2</v>
      </c>
      <c r="J21" s="11">
        <v>7</v>
      </c>
      <c r="K21" s="12">
        <v>9.3000000000000007</v>
      </c>
      <c r="L21" s="11">
        <v>14.5</v>
      </c>
      <c r="M21" s="12">
        <v>4.7</v>
      </c>
      <c r="N21" s="11">
        <v>3.5</v>
      </c>
      <c r="O21" s="12">
        <v>9.1</v>
      </c>
      <c r="P21" s="11">
        <v>7.9</v>
      </c>
      <c r="Q21" s="83">
        <v>2</v>
      </c>
    </row>
    <row r="22" spans="1:17" ht="18.75" x14ac:dyDescent="0.25">
      <c r="A22" s="80">
        <v>45402</v>
      </c>
      <c r="B22" s="17">
        <v>527</v>
      </c>
      <c r="C22" s="12" t="s">
        <v>1</v>
      </c>
      <c r="D22" s="12">
        <v>9.4</v>
      </c>
      <c r="E22" s="12">
        <v>7.3</v>
      </c>
      <c r="F22" s="13">
        <v>14</v>
      </c>
      <c r="G22" s="13">
        <v>2.7</v>
      </c>
      <c r="H22" s="11">
        <v>9</v>
      </c>
      <c r="I22" s="12">
        <v>4.4000000000000004</v>
      </c>
      <c r="J22" s="11">
        <v>8.5</v>
      </c>
      <c r="K22" s="12">
        <v>9.1999999999999993</v>
      </c>
      <c r="L22" s="11">
        <v>15.1</v>
      </c>
      <c r="M22" s="12">
        <v>5.3</v>
      </c>
      <c r="N22" s="11">
        <v>4.5</v>
      </c>
      <c r="O22" s="12">
        <v>9</v>
      </c>
      <c r="P22" s="11">
        <v>8.3000000000000007</v>
      </c>
      <c r="Q22" s="83">
        <v>2.8</v>
      </c>
    </row>
    <row r="23" spans="1:17" ht="18.75" x14ac:dyDescent="0.25">
      <c r="A23" s="80">
        <v>45407</v>
      </c>
      <c r="B23" s="11">
        <v>495</v>
      </c>
      <c r="C23" s="12" t="s">
        <v>0</v>
      </c>
      <c r="D23" s="12">
        <v>13.2</v>
      </c>
      <c r="E23" s="12">
        <v>6.7</v>
      </c>
      <c r="F23" s="13">
        <v>6</v>
      </c>
      <c r="G23" s="13">
        <v>3.9</v>
      </c>
      <c r="H23" s="11">
        <v>9.4</v>
      </c>
      <c r="I23" s="12">
        <v>3.6</v>
      </c>
      <c r="J23" s="11">
        <v>4.3</v>
      </c>
      <c r="K23" s="12">
        <v>9.6</v>
      </c>
      <c r="L23" s="11">
        <v>13.7</v>
      </c>
      <c r="M23" s="12">
        <v>3.2</v>
      </c>
      <c r="N23" s="11">
        <v>6.7</v>
      </c>
      <c r="O23" s="12">
        <v>9.4</v>
      </c>
      <c r="P23" s="11">
        <v>5.4</v>
      </c>
      <c r="Q23" s="83">
        <v>0.8</v>
      </c>
    </row>
    <row r="24" spans="1:17" ht="19.5" thickBot="1" x14ac:dyDescent="0.3">
      <c r="A24" s="81">
        <v>45412</v>
      </c>
      <c r="B24" s="14">
        <v>505</v>
      </c>
      <c r="C24" s="15" t="s">
        <v>1</v>
      </c>
      <c r="D24" s="15">
        <v>13.2</v>
      </c>
      <c r="E24" s="15">
        <v>5.8</v>
      </c>
      <c r="F24" s="16">
        <v>11</v>
      </c>
      <c r="G24" s="16">
        <v>3.9</v>
      </c>
      <c r="H24" s="14">
        <v>9.1999999999999993</v>
      </c>
      <c r="I24" s="15">
        <v>4.0999999999999996</v>
      </c>
      <c r="J24" s="14">
        <v>6.5</v>
      </c>
      <c r="K24" s="15">
        <v>9.4</v>
      </c>
      <c r="L24" s="14">
        <v>14</v>
      </c>
      <c r="M24" s="15">
        <v>4.3</v>
      </c>
      <c r="N24" s="14">
        <v>3</v>
      </c>
      <c r="O24" s="15">
        <v>9.1999999999999993</v>
      </c>
      <c r="P24" s="14">
        <v>7.3</v>
      </c>
      <c r="Q24" s="84">
        <v>1.8</v>
      </c>
    </row>
    <row r="25" spans="1:17" ht="18.75" x14ac:dyDescent="0.25">
      <c r="A25" s="79">
        <v>45417</v>
      </c>
      <c r="B25" s="8">
        <v>490</v>
      </c>
      <c r="C25" s="9" t="s">
        <v>1</v>
      </c>
      <c r="D25" s="9">
        <v>13.2</v>
      </c>
      <c r="E25" s="9">
        <v>15</v>
      </c>
      <c r="F25" s="10">
        <v>11</v>
      </c>
      <c r="G25" s="10">
        <v>3.9</v>
      </c>
      <c r="H25" s="8">
        <v>9</v>
      </c>
      <c r="I25" s="9">
        <v>4.3</v>
      </c>
      <c r="J25" s="8">
        <v>8.1</v>
      </c>
      <c r="K25" s="9">
        <v>9.1999999999999993</v>
      </c>
      <c r="L25" s="8">
        <v>15.2</v>
      </c>
      <c r="M25" s="9">
        <v>4.5999999999999996</v>
      </c>
      <c r="N25" s="8">
        <v>4.8</v>
      </c>
      <c r="O25" s="9">
        <v>9</v>
      </c>
      <c r="P25" s="8">
        <v>8.5</v>
      </c>
      <c r="Q25" s="82">
        <v>2.5</v>
      </c>
    </row>
    <row r="26" spans="1:17" ht="18.75" x14ac:dyDescent="0.25">
      <c r="A26" s="80">
        <v>45422</v>
      </c>
      <c r="B26" s="11">
        <v>515</v>
      </c>
      <c r="C26" s="12" t="s">
        <v>0</v>
      </c>
      <c r="D26" s="12">
        <v>13</v>
      </c>
      <c r="E26" s="12">
        <v>7.3</v>
      </c>
      <c r="F26" s="13">
        <v>7</v>
      </c>
      <c r="G26" s="13">
        <v>3.7</v>
      </c>
      <c r="H26" s="11">
        <v>9.5</v>
      </c>
      <c r="I26" s="12">
        <v>3.4</v>
      </c>
      <c r="J26" s="11">
        <v>4</v>
      </c>
      <c r="K26" s="12">
        <v>9.6999999999999993</v>
      </c>
      <c r="L26" s="11">
        <v>11.9</v>
      </c>
      <c r="M26" s="12">
        <v>3.5</v>
      </c>
      <c r="N26" s="11">
        <v>1.5</v>
      </c>
      <c r="O26" s="12">
        <v>9.5</v>
      </c>
      <c r="P26" s="11">
        <v>4.8</v>
      </c>
      <c r="Q26" s="83">
        <v>7.3</v>
      </c>
    </row>
    <row r="27" spans="1:17" ht="18.75" x14ac:dyDescent="0.25">
      <c r="A27" s="80">
        <v>45427</v>
      </c>
      <c r="B27" s="11">
        <v>500</v>
      </c>
      <c r="C27" s="12" t="s">
        <v>0</v>
      </c>
      <c r="D27" s="12">
        <v>13</v>
      </c>
      <c r="E27" s="12">
        <v>6.7</v>
      </c>
      <c r="F27" s="13">
        <v>6</v>
      </c>
      <c r="G27" s="13">
        <v>3.7</v>
      </c>
      <c r="H27" s="11">
        <v>9.4</v>
      </c>
      <c r="I27" s="12">
        <v>3.6</v>
      </c>
      <c r="J27" s="11">
        <v>4.8</v>
      </c>
      <c r="K27" s="12">
        <v>9.6</v>
      </c>
      <c r="L27" s="11">
        <v>11</v>
      </c>
      <c r="M27" s="12">
        <v>3.4</v>
      </c>
      <c r="N27" s="11">
        <v>7.9</v>
      </c>
      <c r="O27" s="12">
        <v>9.4</v>
      </c>
      <c r="P27" s="11">
        <v>5.6</v>
      </c>
      <c r="Q27" s="83">
        <v>0.9</v>
      </c>
    </row>
    <row r="28" spans="1:17" ht="18.75" x14ac:dyDescent="0.25">
      <c r="A28" s="80">
        <v>45432</v>
      </c>
      <c r="B28" s="11">
        <v>480</v>
      </c>
      <c r="C28" s="12" t="s">
        <v>1</v>
      </c>
      <c r="D28" s="12">
        <v>9.1</v>
      </c>
      <c r="E28" s="12">
        <v>14.2</v>
      </c>
      <c r="F28" s="13">
        <v>13</v>
      </c>
      <c r="G28" s="13">
        <v>2.6</v>
      </c>
      <c r="H28" s="11">
        <v>9.1</v>
      </c>
      <c r="I28" s="12">
        <v>4.2</v>
      </c>
      <c r="J28" s="11">
        <v>7.2</v>
      </c>
      <c r="K28" s="12">
        <v>9.3000000000000007</v>
      </c>
      <c r="L28" s="11">
        <v>14.7</v>
      </c>
      <c r="M28" s="12">
        <v>4.9000000000000004</v>
      </c>
      <c r="N28" s="11">
        <v>3.9</v>
      </c>
      <c r="O28" s="12">
        <v>9.1</v>
      </c>
      <c r="P28" s="11">
        <v>8</v>
      </c>
      <c r="Q28" s="83">
        <v>2.2000000000000002</v>
      </c>
    </row>
    <row r="29" spans="1:17" ht="18.75" x14ac:dyDescent="0.25">
      <c r="A29" s="80">
        <v>45437</v>
      </c>
      <c r="B29" s="11">
        <v>525</v>
      </c>
      <c r="C29" s="12" t="s">
        <v>1</v>
      </c>
      <c r="D29" s="12">
        <v>9.1</v>
      </c>
      <c r="E29" s="12">
        <v>7.3</v>
      </c>
      <c r="F29" s="13">
        <v>14</v>
      </c>
      <c r="G29" s="13">
        <v>2.6</v>
      </c>
      <c r="H29" s="11">
        <v>8.9</v>
      </c>
      <c r="I29" s="12">
        <v>4.5</v>
      </c>
      <c r="J29" s="11">
        <v>9.1999999999999993</v>
      </c>
      <c r="K29" s="12">
        <v>9.1</v>
      </c>
      <c r="L29" s="11">
        <v>15.8</v>
      </c>
      <c r="M29" s="12">
        <v>5.5</v>
      </c>
      <c r="N29" s="11">
        <v>5.2</v>
      </c>
      <c r="O29" s="12">
        <v>8.9</v>
      </c>
      <c r="P29" s="11">
        <v>8.9</v>
      </c>
      <c r="Q29" s="83">
        <v>3.1</v>
      </c>
    </row>
    <row r="30" spans="1:17" ht="19.5" thickBot="1" x14ac:dyDescent="0.3">
      <c r="A30" s="81">
        <v>45442</v>
      </c>
      <c r="B30" s="14">
        <v>495</v>
      </c>
      <c r="C30" s="15" t="s">
        <v>0</v>
      </c>
      <c r="D30" s="15">
        <v>12.4</v>
      </c>
      <c r="E30" s="15">
        <v>8.5</v>
      </c>
      <c r="F30" s="16">
        <v>9</v>
      </c>
      <c r="G30" s="16">
        <v>3.4</v>
      </c>
      <c r="H30" s="14">
        <v>9.6</v>
      </c>
      <c r="I30" s="15">
        <v>3.5</v>
      </c>
      <c r="J30" s="14">
        <v>3.8</v>
      </c>
      <c r="K30" s="15">
        <v>9.8000000000000007</v>
      </c>
      <c r="L30" s="14">
        <v>11.7</v>
      </c>
      <c r="M30" s="15">
        <v>2.9</v>
      </c>
      <c r="N30" s="14">
        <v>1.3</v>
      </c>
      <c r="O30" s="15">
        <v>9.6</v>
      </c>
      <c r="P30" s="14">
        <v>4.7</v>
      </c>
      <c r="Q30" s="84">
        <v>0.5</v>
      </c>
    </row>
    <row r="31" spans="1:17" ht="18.75" x14ac:dyDescent="0.25">
      <c r="A31" s="80">
        <v>45448</v>
      </c>
      <c r="B31" s="11">
        <v>510</v>
      </c>
      <c r="C31" s="12" t="s">
        <v>0</v>
      </c>
      <c r="D31" s="12">
        <v>12.4</v>
      </c>
      <c r="E31" s="12">
        <v>13.8</v>
      </c>
      <c r="F31" s="13">
        <v>10</v>
      </c>
      <c r="G31" s="13">
        <v>3.4</v>
      </c>
      <c r="H31" s="11">
        <v>9.4</v>
      </c>
      <c r="I31" s="12">
        <v>3.6</v>
      </c>
      <c r="J31" s="11">
        <v>4.5999999999999996</v>
      </c>
      <c r="K31" s="12">
        <v>9.6</v>
      </c>
      <c r="L31" s="11">
        <v>12.4</v>
      </c>
      <c r="M31" s="12">
        <v>3.4</v>
      </c>
      <c r="N31" s="11">
        <v>1.8</v>
      </c>
      <c r="O31" s="12">
        <v>9.4</v>
      </c>
      <c r="P31" s="11">
        <v>5.5</v>
      </c>
      <c r="Q31" s="83">
        <v>0.8</v>
      </c>
    </row>
    <row r="32" spans="1:17" ht="18.75" x14ac:dyDescent="0.25">
      <c r="A32" s="80">
        <v>45453</v>
      </c>
      <c r="B32" s="11">
        <v>470</v>
      </c>
      <c r="C32" s="12" t="s">
        <v>1</v>
      </c>
      <c r="D32" s="12">
        <v>12.4</v>
      </c>
      <c r="E32" s="12">
        <v>7.3</v>
      </c>
      <c r="F32" s="13">
        <v>12</v>
      </c>
      <c r="G32" s="13">
        <v>3.4</v>
      </c>
      <c r="H32" s="11">
        <v>9.1999999999999993</v>
      </c>
      <c r="I32" s="12">
        <v>4.0999999999999996</v>
      </c>
      <c r="J32" s="11">
        <v>6.8</v>
      </c>
      <c r="K32" s="12">
        <v>9.4</v>
      </c>
      <c r="L32" s="11">
        <v>14.3</v>
      </c>
      <c r="M32" s="12">
        <v>4.8</v>
      </c>
      <c r="N32" s="11">
        <v>3.4</v>
      </c>
      <c r="O32" s="12">
        <v>9.1999999999999993</v>
      </c>
      <c r="P32" s="11">
        <v>7.6</v>
      </c>
      <c r="Q32" s="83">
        <v>1.9</v>
      </c>
    </row>
    <row r="33" spans="1:17" ht="18.75" x14ac:dyDescent="0.25">
      <c r="A33" s="80">
        <v>45458</v>
      </c>
      <c r="B33" s="11">
        <v>490</v>
      </c>
      <c r="C33" s="12" t="s">
        <v>0</v>
      </c>
      <c r="D33" s="12">
        <v>9.6</v>
      </c>
      <c r="E33" s="12">
        <v>5.8</v>
      </c>
      <c r="F33" s="13">
        <v>9</v>
      </c>
      <c r="G33" s="13">
        <v>2.8</v>
      </c>
      <c r="H33" s="11">
        <v>9.6999999999999993</v>
      </c>
      <c r="I33" s="12">
        <v>3.3</v>
      </c>
      <c r="J33" s="11">
        <v>3.5</v>
      </c>
      <c r="K33" s="12">
        <v>9.9</v>
      </c>
      <c r="L33" s="11">
        <v>11.2</v>
      </c>
      <c r="M33" s="12">
        <v>2.7</v>
      </c>
      <c r="N33" s="11">
        <v>1.1000000000000001</v>
      </c>
      <c r="O33" s="12">
        <v>9.6999999999999993</v>
      </c>
      <c r="P33" s="11">
        <v>4.5</v>
      </c>
      <c r="Q33" s="83">
        <v>0.4</v>
      </c>
    </row>
    <row r="34" spans="1:17" ht="18.75" x14ac:dyDescent="0.25">
      <c r="A34" s="80">
        <v>45463</v>
      </c>
      <c r="B34" s="11">
        <v>480</v>
      </c>
      <c r="C34" s="12" t="s">
        <v>1</v>
      </c>
      <c r="D34" s="12">
        <v>9.6</v>
      </c>
      <c r="E34" s="12">
        <v>6.7</v>
      </c>
      <c r="F34" s="13">
        <v>6</v>
      </c>
      <c r="G34" s="13">
        <v>2.8</v>
      </c>
      <c r="H34" s="11">
        <v>9.6</v>
      </c>
      <c r="I34" s="12">
        <v>4.3</v>
      </c>
      <c r="J34" s="11">
        <v>7.8</v>
      </c>
      <c r="K34" s="12">
        <v>9.3000000000000007</v>
      </c>
      <c r="L34" s="11">
        <v>9</v>
      </c>
      <c r="M34" s="12">
        <v>5</v>
      </c>
      <c r="N34" s="11">
        <v>4</v>
      </c>
      <c r="O34" s="12">
        <v>9.3000000000000007</v>
      </c>
      <c r="P34" s="11">
        <v>8.1999999999999993</v>
      </c>
      <c r="Q34" s="83">
        <v>2.6</v>
      </c>
    </row>
    <row r="35" spans="1:17" ht="18.75" x14ac:dyDescent="0.25">
      <c r="A35" s="80">
        <v>45468</v>
      </c>
      <c r="B35" s="11">
        <v>505</v>
      </c>
      <c r="C35" s="12" t="s">
        <v>1</v>
      </c>
      <c r="D35" s="12">
        <v>13.4</v>
      </c>
      <c r="E35" s="12">
        <v>12.5</v>
      </c>
      <c r="F35" s="13">
        <v>11</v>
      </c>
      <c r="G35" s="13">
        <v>4</v>
      </c>
      <c r="H35" s="11">
        <v>9.1999999999999993</v>
      </c>
      <c r="I35" s="12">
        <v>4</v>
      </c>
      <c r="J35" s="11">
        <v>6.3</v>
      </c>
      <c r="K35" s="12">
        <v>9.4</v>
      </c>
      <c r="L35" s="11">
        <v>13.9</v>
      </c>
      <c r="M35" s="12">
        <v>4.4000000000000004</v>
      </c>
      <c r="N35" s="11">
        <v>2.9</v>
      </c>
      <c r="O35" s="12">
        <v>9.1999999999999993</v>
      </c>
      <c r="P35" s="11">
        <v>7.4</v>
      </c>
      <c r="Q35" s="83">
        <v>1.7</v>
      </c>
    </row>
    <row r="36" spans="1:17" ht="19.5" thickBot="1" x14ac:dyDescent="0.3">
      <c r="A36" s="80">
        <v>45473</v>
      </c>
      <c r="B36" s="11">
        <v>495</v>
      </c>
      <c r="C36" s="12" t="s">
        <v>0</v>
      </c>
      <c r="D36" s="12">
        <v>13.4</v>
      </c>
      <c r="E36" s="12">
        <v>7.3</v>
      </c>
      <c r="F36" s="13">
        <v>7</v>
      </c>
      <c r="G36" s="13">
        <v>4</v>
      </c>
      <c r="H36" s="11">
        <v>9.5</v>
      </c>
      <c r="I36" s="12">
        <v>3.7</v>
      </c>
      <c r="J36" s="11">
        <v>4.2</v>
      </c>
      <c r="K36" s="12">
        <v>9.6999999999999993</v>
      </c>
      <c r="L36" s="11">
        <v>12.2</v>
      </c>
      <c r="M36" s="12">
        <v>3.1</v>
      </c>
      <c r="N36" s="11">
        <v>1.6</v>
      </c>
      <c r="O36" s="12">
        <v>9.5</v>
      </c>
      <c r="P36" s="11">
        <v>5.2</v>
      </c>
      <c r="Q36" s="83">
        <v>3.7</v>
      </c>
    </row>
    <row r="37" spans="1:17" ht="18.75" x14ac:dyDescent="0.25">
      <c r="A37" s="79">
        <v>45478</v>
      </c>
      <c r="B37" s="18">
        <v>517</v>
      </c>
      <c r="C37" s="9" t="s">
        <v>0</v>
      </c>
      <c r="D37" s="9">
        <v>13.4</v>
      </c>
      <c r="E37" s="9">
        <v>7.3</v>
      </c>
      <c r="F37" s="10">
        <v>7</v>
      </c>
      <c r="G37" s="10">
        <v>4</v>
      </c>
      <c r="H37" s="8">
        <v>9.4</v>
      </c>
      <c r="I37" s="9">
        <v>3.5</v>
      </c>
      <c r="J37" s="8">
        <v>4.4000000000000004</v>
      </c>
      <c r="K37" s="9">
        <v>9.6</v>
      </c>
      <c r="L37" s="8">
        <v>12.3</v>
      </c>
      <c r="M37" s="9">
        <v>3.3</v>
      </c>
      <c r="N37" s="8">
        <v>1.7</v>
      </c>
      <c r="O37" s="9">
        <v>9.4</v>
      </c>
      <c r="P37" s="8">
        <v>5.3</v>
      </c>
      <c r="Q37" s="82">
        <v>7.3</v>
      </c>
    </row>
    <row r="38" spans="1:17" ht="18.75" x14ac:dyDescent="0.25">
      <c r="A38" s="80">
        <v>45483</v>
      </c>
      <c r="B38" s="11">
        <v>505</v>
      </c>
      <c r="C38" s="12" t="s">
        <v>1</v>
      </c>
      <c r="D38" s="12">
        <v>13.2</v>
      </c>
      <c r="E38" s="12">
        <v>8.5</v>
      </c>
      <c r="F38" s="13">
        <v>12</v>
      </c>
      <c r="G38" s="13">
        <v>3.8</v>
      </c>
      <c r="H38" s="11">
        <v>9.1999999999999993</v>
      </c>
      <c r="I38" s="12">
        <v>4</v>
      </c>
      <c r="J38" s="11">
        <v>6.5</v>
      </c>
      <c r="K38" s="12">
        <v>9.4</v>
      </c>
      <c r="L38" s="11">
        <v>14</v>
      </c>
      <c r="M38" s="12">
        <v>4.5</v>
      </c>
      <c r="N38" s="11">
        <v>3.1</v>
      </c>
      <c r="O38" s="12">
        <v>9.1999999999999993</v>
      </c>
      <c r="P38" s="11">
        <v>7.3</v>
      </c>
      <c r="Q38" s="83">
        <v>1.8</v>
      </c>
    </row>
    <row r="39" spans="1:17" ht="18.75" x14ac:dyDescent="0.25">
      <c r="A39" s="80">
        <v>45488</v>
      </c>
      <c r="B39" s="11">
        <v>495</v>
      </c>
      <c r="C39" s="12" t="s">
        <v>0</v>
      </c>
      <c r="D39" s="12">
        <v>13.2</v>
      </c>
      <c r="E39" s="12">
        <v>14.2</v>
      </c>
      <c r="F39" s="13">
        <v>9</v>
      </c>
      <c r="G39" s="13">
        <v>3.8</v>
      </c>
      <c r="H39" s="11">
        <v>9.6</v>
      </c>
      <c r="I39" s="12">
        <v>3.6</v>
      </c>
      <c r="J39" s="11">
        <v>3.9</v>
      </c>
      <c r="K39" s="12">
        <v>9.6999999999999993</v>
      </c>
      <c r="L39" s="11">
        <v>11.9</v>
      </c>
      <c r="M39" s="12">
        <v>2.8</v>
      </c>
      <c r="N39" s="11">
        <v>1.4</v>
      </c>
      <c r="O39" s="12">
        <v>9.6</v>
      </c>
      <c r="P39" s="11">
        <v>4.8</v>
      </c>
      <c r="Q39" s="83">
        <v>0.6</v>
      </c>
    </row>
    <row r="40" spans="1:17" ht="18.75" x14ac:dyDescent="0.25">
      <c r="A40" s="80">
        <v>45493</v>
      </c>
      <c r="B40" s="17">
        <v>527</v>
      </c>
      <c r="C40" s="12" t="s">
        <v>1</v>
      </c>
      <c r="D40" s="12">
        <v>9.3000000000000007</v>
      </c>
      <c r="E40" s="12">
        <v>7.3</v>
      </c>
      <c r="F40" s="13">
        <v>14</v>
      </c>
      <c r="G40" s="13">
        <v>2.7</v>
      </c>
      <c r="H40" s="11">
        <v>9</v>
      </c>
      <c r="I40" s="12">
        <v>4.3</v>
      </c>
      <c r="J40" s="11">
        <v>8</v>
      </c>
      <c r="K40" s="12">
        <v>9.1999999999999993</v>
      </c>
      <c r="L40" s="11">
        <v>15</v>
      </c>
      <c r="M40" s="12">
        <v>5.2</v>
      </c>
      <c r="N40" s="11">
        <v>4.3</v>
      </c>
      <c r="O40" s="12">
        <v>9</v>
      </c>
      <c r="P40" s="11">
        <v>8.1</v>
      </c>
      <c r="Q40" s="83">
        <v>2.7</v>
      </c>
    </row>
    <row r="41" spans="1:17" ht="18.75" x14ac:dyDescent="0.25">
      <c r="A41" s="80">
        <v>45498</v>
      </c>
      <c r="B41" s="11">
        <v>500</v>
      </c>
      <c r="C41" s="12" t="s">
        <v>0</v>
      </c>
      <c r="D41" s="12">
        <v>9.3000000000000007</v>
      </c>
      <c r="E41" s="12">
        <v>6.7</v>
      </c>
      <c r="F41" s="13">
        <v>6</v>
      </c>
      <c r="G41" s="13">
        <v>2.7</v>
      </c>
      <c r="H41" s="11">
        <v>9.5</v>
      </c>
      <c r="I41" s="12">
        <v>3.7</v>
      </c>
      <c r="J41" s="11">
        <v>4.5999999999999996</v>
      </c>
      <c r="K41" s="12">
        <v>9.6</v>
      </c>
      <c r="L41" s="11">
        <v>6.7</v>
      </c>
      <c r="M41" s="12">
        <v>3.2</v>
      </c>
      <c r="N41" s="11">
        <v>7.8</v>
      </c>
      <c r="O41" s="12">
        <v>9.5</v>
      </c>
      <c r="P41" s="11">
        <v>5.4</v>
      </c>
      <c r="Q41" s="83">
        <v>0.8</v>
      </c>
    </row>
    <row r="42" spans="1:17" ht="19.5" thickBot="1" x14ac:dyDescent="0.3">
      <c r="A42" s="81">
        <v>45503</v>
      </c>
      <c r="B42" s="14">
        <v>485</v>
      </c>
      <c r="C42" s="15" t="s">
        <v>1</v>
      </c>
      <c r="D42" s="15">
        <v>12.6</v>
      </c>
      <c r="E42" s="15">
        <v>7.3</v>
      </c>
      <c r="F42" s="16">
        <v>13</v>
      </c>
      <c r="G42" s="16">
        <v>3.5</v>
      </c>
      <c r="H42" s="14">
        <v>9.1</v>
      </c>
      <c r="I42" s="15">
        <v>4.2</v>
      </c>
      <c r="J42" s="14">
        <v>7.3</v>
      </c>
      <c r="K42" s="15">
        <v>9.3000000000000007</v>
      </c>
      <c r="L42" s="14">
        <v>14.6</v>
      </c>
      <c r="M42" s="15">
        <v>4.9000000000000004</v>
      </c>
      <c r="N42" s="14">
        <v>3.7</v>
      </c>
      <c r="O42" s="15">
        <v>9.1</v>
      </c>
      <c r="P42" s="14">
        <v>7.9</v>
      </c>
      <c r="Q42" s="84">
        <v>2.1</v>
      </c>
    </row>
    <row r="43" spans="1:17" ht="18.75" x14ac:dyDescent="0.25">
      <c r="A43" s="80">
        <v>45509</v>
      </c>
      <c r="B43" s="11">
        <v>515</v>
      </c>
      <c r="C43" s="12" t="s">
        <v>0</v>
      </c>
      <c r="D43" s="12">
        <v>12.6</v>
      </c>
      <c r="E43" s="12">
        <v>5.8</v>
      </c>
      <c r="F43" s="13">
        <v>10</v>
      </c>
      <c r="G43" s="13">
        <v>3.5</v>
      </c>
      <c r="H43" s="11">
        <v>9.4</v>
      </c>
      <c r="I43" s="12">
        <v>3.5</v>
      </c>
      <c r="J43" s="11">
        <v>4.5</v>
      </c>
      <c r="K43" s="12">
        <v>9.6</v>
      </c>
      <c r="L43" s="11">
        <v>12.4</v>
      </c>
      <c r="M43" s="12">
        <v>3.4</v>
      </c>
      <c r="N43" s="11">
        <v>1.9</v>
      </c>
      <c r="O43" s="12">
        <v>9.4</v>
      </c>
      <c r="P43" s="11">
        <v>5.5</v>
      </c>
      <c r="Q43" s="83">
        <v>0.9</v>
      </c>
    </row>
    <row r="44" spans="1:17" ht="18.75" x14ac:dyDescent="0.25">
      <c r="A44" s="80">
        <v>45514</v>
      </c>
      <c r="B44" s="11">
        <v>510</v>
      </c>
      <c r="C44" s="12" t="s">
        <v>1</v>
      </c>
      <c r="D44" s="12">
        <v>12.6</v>
      </c>
      <c r="E44" s="12">
        <v>15</v>
      </c>
      <c r="F44" s="13">
        <v>12</v>
      </c>
      <c r="G44" s="13">
        <v>3.5</v>
      </c>
      <c r="H44" s="11">
        <v>9.1999999999999993</v>
      </c>
      <c r="I44" s="12">
        <v>4.0999999999999996</v>
      </c>
      <c r="J44" s="11">
        <v>6.9</v>
      </c>
      <c r="K44" s="12">
        <v>9.4</v>
      </c>
      <c r="L44" s="11">
        <v>14.4</v>
      </c>
      <c r="M44" s="12">
        <v>4.8</v>
      </c>
      <c r="N44" s="11">
        <v>3.5</v>
      </c>
      <c r="O44" s="12">
        <v>9.1999999999999993</v>
      </c>
      <c r="P44" s="11">
        <v>7.7</v>
      </c>
      <c r="Q44" s="83">
        <v>2</v>
      </c>
    </row>
    <row r="45" spans="1:17" ht="18.75" x14ac:dyDescent="0.25">
      <c r="A45" s="80">
        <v>45519</v>
      </c>
      <c r="B45" s="11">
        <v>495</v>
      </c>
      <c r="C45" s="12" t="s">
        <v>0</v>
      </c>
      <c r="D45" s="12">
        <v>9.6999999999999993</v>
      </c>
      <c r="E45" s="12">
        <v>7.3</v>
      </c>
      <c r="F45" s="13">
        <v>9</v>
      </c>
      <c r="G45" s="13">
        <v>2.9</v>
      </c>
      <c r="H45" s="11">
        <v>9.6</v>
      </c>
      <c r="I45" s="12">
        <v>3.6</v>
      </c>
      <c r="J45" s="11">
        <v>3.8</v>
      </c>
      <c r="K45" s="12">
        <v>9.6999999999999993</v>
      </c>
      <c r="L45" s="11">
        <v>11.8</v>
      </c>
      <c r="M45" s="12">
        <v>2.9</v>
      </c>
      <c r="N45" s="11">
        <v>1.5</v>
      </c>
      <c r="O45" s="12">
        <v>9.6</v>
      </c>
      <c r="P45" s="11">
        <v>4.9000000000000004</v>
      </c>
      <c r="Q45" s="83">
        <v>7.6</v>
      </c>
    </row>
    <row r="46" spans="1:17" ht="18.75" x14ac:dyDescent="0.25">
      <c r="A46" s="80">
        <v>45524</v>
      </c>
      <c r="B46" s="11">
        <v>525</v>
      </c>
      <c r="C46" s="12" t="s">
        <v>1</v>
      </c>
      <c r="D46" s="12">
        <v>9.6999999999999993</v>
      </c>
      <c r="E46" s="12">
        <v>13.8</v>
      </c>
      <c r="F46" s="13">
        <v>15</v>
      </c>
      <c r="G46" s="13">
        <v>2.9</v>
      </c>
      <c r="H46" s="11">
        <v>8.8000000000000007</v>
      </c>
      <c r="I46" s="12">
        <v>4.5999999999999996</v>
      </c>
      <c r="J46" s="11">
        <v>9.8000000000000007</v>
      </c>
      <c r="K46" s="12">
        <v>9</v>
      </c>
      <c r="L46" s="11">
        <v>16.2</v>
      </c>
      <c r="M46" s="12">
        <v>5.8</v>
      </c>
      <c r="N46" s="11">
        <v>5.8</v>
      </c>
      <c r="O46" s="12">
        <v>8.8000000000000007</v>
      </c>
      <c r="P46" s="11">
        <v>9.1999999999999993</v>
      </c>
      <c r="Q46" s="83">
        <v>3.5</v>
      </c>
    </row>
    <row r="47" spans="1:17" ht="18.75" x14ac:dyDescent="0.25">
      <c r="A47" s="80">
        <v>45529</v>
      </c>
      <c r="B47" s="11">
        <v>475</v>
      </c>
      <c r="C47" s="12" t="s">
        <v>1</v>
      </c>
      <c r="D47" s="12">
        <v>13.6</v>
      </c>
      <c r="E47" s="12">
        <v>7.3</v>
      </c>
      <c r="F47" s="13">
        <v>12</v>
      </c>
      <c r="G47" s="13">
        <v>4.0999999999999996</v>
      </c>
      <c r="H47" s="11">
        <v>9.1999999999999993</v>
      </c>
      <c r="I47" s="12">
        <v>4</v>
      </c>
      <c r="J47" s="11">
        <v>6.4</v>
      </c>
      <c r="K47" s="12">
        <v>9.4</v>
      </c>
      <c r="L47" s="11">
        <v>13.8</v>
      </c>
      <c r="M47" s="12">
        <v>4.5999999999999996</v>
      </c>
      <c r="N47" s="11">
        <v>3.2</v>
      </c>
      <c r="O47" s="12">
        <v>9.1999999999999993</v>
      </c>
      <c r="P47" s="11">
        <v>7.6</v>
      </c>
      <c r="Q47" s="83">
        <v>2</v>
      </c>
    </row>
    <row r="48" spans="1:17" ht="19.5" thickBot="1" x14ac:dyDescent="0.3">
      <c r="A48" s="80">
        <v>45534</v>
      </c>
      <c r="B48" s="11">
        <v>490</v>
      </c>
      <c r="C48" s="12" t="s">
        <v>0</v>
      </c>
      <c r="D48" s="12">
        <v>13.6</v>
      </c>
      <c r="E48" s="12">
        <v>6.7</v>
      </c>
      <c r="F48" s="13">
        <v>6</v>
      </c>
      <c r="G48" s="13">
        <v>4.0999999999999996</v>
      </c>
      <c r="H48" s="11">
        <v>9.5</v>
      </c>
      <c r="I48" s="12">
        <v>3.7</v>
      </c>
      <c r="J48" s="11">
        <v>4.3</v>
      </c>
      <c r="K48" s="12">
        <v>9.6</v>
      </c>
      <c r="L48" s="11">
        <v>12</v>
      </c>
      <c r="M48" s="12">
        <v>3.6</v>
      </c>
      <c r="N48" s="11">
        <v>6</v>
      </c>
      <c r="O48" s="12">
        <v>9.5</v>
      </c>
      <c r="P48" s="11">
        <v>5.3</v>
      </c>
      <c r="Q48" s="83">
        <v>0.8</v>
      </c>
    </row>
    <row r="49" spans="1:17" ht="18.75" x14ac:dyDescent="0.25">
      <c r="A49" s="79">
        <v>45540</v>
      </c>
      <c r="B49" s="8">
        <v>505</v>
      </c>
      <c r="C49" s="9" t="s">
        <v>0</v>
      </c>
      <c r="D49" s="9">
        <v>13.6</v>
      </c>
      <c r="E49" s="9">
        <v>6.7</v>
      </c>
      <c r="F49" s="10">
        <v>6</v>
      </c>
      <c r="G49" s="10">
        <v>4.0999999999999996</v>
      </c>
      <c r="H49" s="8">
        <v>9.4</v>
      </c>
      <c r="I49" s="9">
        <v>3.5</v>
      </c>
      <c r="J49" s="8">
        <v>4.5999999999999996</v>
      </c>
      <c r="K49" s="9">
        <v>9.6</v>
      </c>
      <c r="L49" s="8">
        <v>15</v>
      </c>
      <c r="M49" s="9">
        <v>3.4</v>
      </c>
      <c r="N49" s="8">
        <v>6</v>
      </c>
      <c r="O49" s="9">
        <v>9.4</v>
      </c>
      <c r="P49" s="8">
        <v>5.4</v>
      </c>
      <c r="Q49" s="82">
        <v>0.8</v>
      </c>
    </row>
    <row r="50" spans="1:17" ht="18.75" x14ac:dyDescent="0.25">
      <c r="A50" s="80">
        <v>45545</v>
      </c>
      <c r="B50" s="11">
        <v>515</v>
      </c>
      <c r="C50" s="12" t="s">
        <v>1</v>
      </c>
      <c r="D50" s="12">
        <v>13.4</v>
      </c>
      <c r="E50" s="12">
        <v>8.5</v>
      </c>
      <c r="F50" s="13">
        <v>13</v>
      </c>
      <c r="G50" s="13">
        <v>3.9</v>
      </c>
      <c r="H50" s="11">
        <v>9.1</v>
      </c>
      <c r="I50" s="12">
        <v>4.3</v>
      </c>
      <c r="J50" s="11">
        <v>7.5</v>
      </c>
      <c r="K50" s="12">
        <v>9.3000000000000007</v>
      </c>
      <c r="L50" s="11">
        <v>14.8</v>
      </c>
      <c r="M50" s="12">
        <v>5</v>
      </c>
      <c r="N50" s="11">
        <v>4</v>
      </c>
      <c r="O50" s="12">
        <v>9.1</v>
      </c>
      <c r="P50" s="11">
        <v>8</v>
      </c>
      <c r="Q50" s="83">
        <v>2.4</v>
      </c>
    </row>
    <row r="51" spans="1:17" ht="18.75" x14ac:dyDescent="0.25">
      <c r="A51" s="80">
        <v>45550</v>
      </c>
      <c r="B51" s="11">
        <v>495</v>
      </c>
      <c r="C51" s="12" t="s">
        <v>0</v>
      </c>
      <c r="D51" s="12">
        <v>13.4</v>
      </c>
      <c r="E51" s="12">
        <v>6.7</v>
      </c>
      <c r="F51" s="13">
        <v>9</v>
      </c>
      <c r="G51" s="13">
        <v>3.9</v>
      </c>
      <c r="H51" s="11">
        <v>9.6</v>
      </c>
      <c r="I51" s="12">
        <v>3.6</v>
      </c>
      <c r="J51" s="11">
        <v>4</v>
      </c>
      <c r="K51" s="12">
        <v>9.6999999999999993</v>
      </c>
      <c r="L51" s="11">
        <v>12.8</v>
      </c>
      <c r="M51" s="12">
        <v>2.9</v>
      </c>
      <c r="N51" s="11">
        <v>6.4</v>
      </c>
      <c r="O51" s="12">
        <v>9.6</v>
      </c>
      <c r="P51" s="11">
        <v>4.9000000000000004</v>
      </c>
      <c r="Q51" s="83">
        <v>0.7</v>
      </c>
    </row>
    <row r="52" spans="1:17" ht="18.75" x14ac:dyDescent="0.25">
      <c r="A52" s="80">
        <v>45555</v>
      </c>
      <c r="B52" s="17">
        <v>487</v>
      </c>
      <c r="C52" s="12" t="s">
        <v>1</v>
      </c>
      <c r="D52" s="12">
        <v>9.4</v>
      </c>
      <c r="E52" s="12">
        <v>7.3</v>
      </c>
      <c r="F52" s="13">
        <v>12</v>
      </c>
      <c r="G52" s="13">
        <v>2.8</v>
      </c>
      <c r="H52" s="11">
        <v>9.1</v>
      </c>
      <c r="I52" s="12">
        <v>4.2</v>
      </c>
      <c r="J52" s="11">
        <v>7.4</v>
      </c>
      <c r="K52" s="12">
        <v>9.3000000000000007</v>
      </c>
      <c r="L52" s="11">
        <v>14.7</v>
      </c>
      <c r="M52" s="12">
        <v>4.9000000000000004</v>
      </c>
      <c r="N52" s="11">
        <v>3.8</v>
      </c>
      <c r="O52" s="12">
        <v>9.1</v>
      </c>
      <c r="P52" s="11">
        <v>8</v>
      </c>
      <c r="Q52" s="83">
        <v>2.2999999999999998</v>
      </c>
    </row>
    <row r="53" spans="1:17" ht="18.75" x14ac:dyDescent="0.25">
      <c r="A53" s="80">
        <v>45560</v>
      </c>
      <c r="B53" s="11">
        <v>537</v>
      </c>
      <c r="C53" s="12" t="s">
        <v>1</v>
      </c>
      <c r="D53" s="12">
        <v>9.4</v>
      </c>
      <c r="E53" s="12">
        <v>7.3</v>
      </c>
      <c r="F53" s="13">
        <v>16</v>
      </c>
      <c r="G53" s="13">
        <v>2.8</v>
      </c>
      <c r="H53" s="11">
        <v>8.6999999999999993</v>
      </c>
      <c r="I53" s="12">
        <v>4.7</v>
      </c>
      <c r="J53" s="11">
        <v>7.3</v>
      </c>
      <c r="K53" s="12">
        <v>8.9</v>
      </c>
      <c r="L53" s="11">
        <v>16.8</v>
      </c>
      <c r="M53" s="12">
        <v>6</v>
      </c>
      <c r="N53" s="11">
        <v>6.5</v>
      </c>
      <c r="O53" s="12">
        <v>8.6999999999999993</v>
      </c>
      <c r="P53" s="11">
        <v>9.5</v>
      </c>
      <c r="Q53" s="83">
        <v>4</v>
      </c>
    </row>
    <row r="54" spans="1:17" ht="19.5" thickBot="1" x14ac:dyDescent="0.3">
      <c r="A54" s="81">
        <v>45565</v>
      </c>
      <c r="B54" s="14">
        <v>500</v>
      </c>
      <c r="C54" s="15" t="s">
        <v>0</v>
      </c>
      <c r="D54" s="15">
        <v>12.8</v>
      </c>
      <c r="E54" s="15">
        <v>14.2</v>
      </c>
      <c r="F54" s="16">
        <v>10</v>
      </c>
      <c r="G54" s="16">
        <v>3.6</v>
      </c>
      <c r="H54" s="14">
        <v>9.5</v>
      </c>
      <c r="I54" s="15">
        <v>3.7</v>
      </c>
      <c r="J54" s="14">
        <v>4.2</v>
      </c>
      <c r="K54" s="15">
        <v>9.6</v>
      </c>
      <c r="L54" s="14">
        <v>12.7</v>
      </c>
      <c r="M54" s="15">
        <v>3.2</v>
      </c>
      <c r="N54" s="14">
        <v>1.8</v>
      </c>
      <c r="O54" s="15">
        <v>9.5</v>
      </c>
      <c r="P54" s="14">
        <v>5.5</v>
      </c>
      <c r="Q54" s="84">
        <v>0.8</v>
      </c>
    </row>
    <row r="55" spans="1:17" ht="18.75" x14ac:dyDescent="0.25">
      <c r="A55" s="80">
        <v>45570</v>
      </c>
      <c r="B55" s="11">
        <v>510</v>
      </c>
      <c r="C55" s="12" t="s">
        <v>0</v>
      </c>
      <c r="D55" s="12">
        <v>12.8</v>
      </c>
      <c r="E55" s="12">
        <v>6.3</v>
      </c>
      <c r="F55" s="13">
        <v>10</v>
      </c>
      <c r="G55" s="13">
        <v>3.6</v>
      </c>
      <c r="H55" s="11">
        <v>9.4</v>
      </c>
      <c r="I55" s="12">
        <v>3.5</v>
      </c>
      <c r="J55" s="11">
        <v>4.7</v>
      </c>
      <c r="K55" s="12">
        <v>9.6</v>
      </c>
      <c r="L55" s="11">
        <v>12.3</v>
      </c>
      <c r="M55" s="12">
        <v>3.4</v>
      </c>
      <c r="N55" s="11">
        <v>1.9</v>
      </c>
      <c r="O55" s="12">
        <v>9.4</v>
      </c>
      <c r="P55" s="11">
        <v>5.4</v>
      </c>
      <c r="Q55" s="83">
        <v>0.9</v>
      </c>
    </row>
    <row r="56" spans="1:17" ht="18.75" x14ac:dyDescent="0.25">
      <c r="A56" s="80">
        <v>45575</v>
      </c>
      <c r="B56" s="17">
        <v>465</v>
      </c>
      <c r="C56" s="12" t="s">
        <v>1</v>
      </c>
      <c r="D56" s="12">
        <v>12.8</v>
      </c>
      <c r="E56" s="12">
        <v>7.3</v>
      </c>
      <c r="F56" s="13">
        <v>12</v>
      </c>
      <c r="G56" s="13">
        <v>3.6</v>
      </c>
      <c r="H56" s="11">
        <v>9.1999999999999993</v>
      </c>
      <c r="I56" s="12">
        <v>4.0999999999999996</v>
      </c>
      <c r="J56" s="11">
        <v>6.7</v>
      </c>
      <c r="K56" s="12">
        <v>9.4</v>
      </c>
      <c r="L56" s="11">
        <v>14.2</v>
      </c>
      <c r="M56" s="12">
        <v>4.7</v>
      </c>
      <c r="N56" s="11">
        <v>3.3</v>
      </c>
      <c r="O56" s="12">
        <v>9.1999999999999993</v>
      </c>
      <c r="P56" s="11">
        <v>7.6</v>
      </c>
      <c r="Q56" s="83">
        <v>1.9</v>
      </c>
    </row>
    <row r="57" spans="1:17" ht="18.75" x14ac:dyDescent="0.25">
      <c r="A57" s="80">
        <v>45580</v>
      </c>
      <c r="B57" s="11">
        <v>495</v>
      </c>
      <c r="C57" s="12" t="s">
        <v>0</v>
      </c>
      <c r="D57" s="12">
        <v>9.8000000000000007</v>
      </c>
      <c r="E57" s="12">
        <v>5.8</v>
      </c>
      <c r="F57" s="13">
        <v>9</v>
      </c>
      <c r="G57" s="13">
        <v>3</v>
      </c>
      <c r="H57" s="11">
        <v>9.6</v>
      </c>
      <c r="I57" s="12">
        <v>3.6</v>
      </c>
      <c r="J57" s="11">
        <v>3.9</v>
      </c>
      <c r="K57" s="12">
        <v>9.6999999999999993</v>
      </c>
      <c r="L57" s="11">
        <v>11.8</v>
      </c>
      <c r="M57" s="12">
        <v>2.8</v>
      </c>
      <c r="N57" s="11">
        <v>1.5</v>
      </c>
      <c r="O57" s="12">
        <v>9.6</v>
      </c>
      <c r="P57" s="11">
        <v>4.8</v>
      </c>
      <c r="Q57" s="83">
        <v>0.6</v>
      </c>
    </row>
    <row r="58" spans="1:17" ht="18.75" x14ac:dyDescent="0.25">
      <c r="A58" s="80">
        <v>45585</v>
      </c>
      <c r="B58" s="17">
        <v>527</v>
      </c>
      <c r="C58" s="12" t="s">
        <v>1</v>
      </c>
      <c r="D58" s="12">
        <v>9.8000000000000007</v>
      </c>
      <c r="E58" s="12">
        <v>7.3</v>
      </c>
      <c r="F58" s="13">
        <v>14</v>
      </c>
      <c r="G58" s="13">
        <v>3</v>
      </c>
      <c r="H58" s="11">
        <v>9</v>
      </c>
      <c r="I58" s="12">
        <v>4.4000000000000004</v>
      </c>
      <c r="J58" s="11">
        <v>8.1999999999999993</v>
      </c>
      <c r="K58" s="12">
        <v>9.1999999999999993</v>
      </c>
      <c r="L58" s="11">
        <v>15.3</v>
      </c>
      <c r="M58" s="12">
        <v>5.3</v>
      </c>
      <c r="N58" s="11">
        <v>4.4000000000000004</v>
      </c>
      <c r="O58" s="12">
        <v>9</v>
      </c>
      <c r="P58" s="11">
        <v>8.3000000000000007</v>
      </c>
      <c r="Q58" s="83">
        <v>2.8</v>
      </c>
    </row>
    <row r="59" spans="1:17" ht="18.75" x14ac:dyDescent="0.25">
      <c r="A59" s="80">
        <v>45590</v>
      </c>
      <c r="B59" s="11">
        <v>500</v>
      </c>
      <c r="C59" s="12" t="s">
        <v>1</v>
      </c>
      <c r="D59" s="12">
        <v>13.8</v>
      </c>
      <c r="E59" s="12">
        <v>13.8</v>
      </c>
      <c r="F59" s="13">
        <v>12</v>
      </c>
      <c r="G59" s="13">
        <v>4.2</v>
      </c>
      <c r="H59" s="11">
        <v>9.1999999999999993</v>
      </c>
      <c r="I59" s="12">
        <v>4</v>
      </c>
      <c r="J59" s="11">
        <v>6.3</v>
      </c>
      <c r="K59" s="12">
        <v>9.4</v>
      </c>
      <c r="L59" s="11">
        <v>13.7</v>
      </c>
      <c r="M59" s="12">
        <v>4.5</v>
      </c>
      <c r="N59" s="11">
        <v>3.1</v>
      </c>
      <c r="O59" s="12">
        <v>9.1999999999999993</v>
      </c>
      <c r="P59" s="11">
        <v>7.4</v>
      </c>
      <c r="Q59" s="83">
        <v>1.8</v>
      </c>
    </row>
    <row r="60" spans="1:17" ht="19.5" thickBot="1" x14ac:dyDescent="0.3">
      <c r="A60" s="80">
        <v>45595</v>
      </c>
      <c r="B60" s="19">
        <v>497</v>
      </c>
      <c r="C60" s="12" t="s">
        <v>0</v>
      </c>
      <c r="D60" s="12">
        <v>13.8</v>
      </c>
      <c r="E60" s="12">
        <v>7.3</v>
      </c>
      <c r="F60" s="13">
        <v>17</v>
      </c>
      <c r="G60" s="13">
        <v>4.2</v>
      </c>
      <c r="H60" s="11">
        <v>9.5</v>
      </c>
      <c r="I60" s="12">
        <v>3.7</v>
      </c>
      <c r="J60" s="11">
        <v>4.4000000000000004</v>
      </c>
      <c r="K60" s="12">
        <v>9.6</v>
      </c>
      <c r="L60" s="11">
        <v>12.4</v>
      </c>
      <c r="M60" s="12">
        <v>3.1</v>
      </c>
      <c r="N60" s="11">
        <v>1.7</v>
      </c>
      <c r="O60" s="12">
        <v>9.5</v>
      </c>
      <c r="P60" s="11">
        <v>5.2</v>
      </c>
      <c r="Q60" s="83">
        <v>7.8</v>
      </c>
    </row>
    <row r="61" spans="1:17" ht="18.75" x14ac:dyDescent="0.25">
      <c r="A61" s="79">
        <v>45601</v>
      </c>
      <c r="B61" s="8">
        <v>515</v>
      </c>
      <c r="C61" s="9" t="s">
        <v>0</v>
      </c>
      <c r="D61" s="9">
        <v>13.8</v>
      </c>
      <c r="E61" s="9">
        <v>7.3</v>
      </c>
      <c r="F61" s="10">
        <v>17</v>
      </c>
      <c r="G61" s="10">
        <v>4.2</v>
      </c>
      <c r="H61" s="8">
        <v>9.4</v>
      </c>
      <c r="I61" s="9">
        <v>3.5</v>
      </c>
      <c r="J61" s="8">
        <v>4.8</v>
      </c>
      <c r="K61" s="9">
        <v>9.6</v>
      </c>
      <c r="L61" s="8">
        <v>12.5</v>
      </c>
      <c r="M61" s="9">
        <v>3.5</v>
      </c>
      <c r="N61" s="8">
        <v>2</v>
      </c>
      <c r="O61" s="9">
        <v>9.4</v>
      </c>
      <c r="P61" s="8">
        <v>5.6</v>
      </c>
      <c r="Q61" s="82">
        <v>1</v>
      </c>
    </row>
    <row r="62" spans="1:17" ht="18.75" x14ac:dyDescent="0.25">
      <c r="A62" s="80">
        <v>45606</v>
      </c>
      <c r="B62" s="11">
        <v>510</v>
      </c>
      <c r="C62" s="12" t="s">
        <v>1</v>
      </c>
      <c r="D62" s="12">
        <v>13.6</v>
      </c>
      <c r="E62" s="12">
        <v>15</v>
      </c>
      <c r="F62" s="13">
        <v>13</v>
      </c>
      <c r="G62" s="13">
        <v>4</v>
      </c>
      <c r="H62" s="11">
        <v>9.1</v>
      </c>
      <c r="I62" s="12">
        <v>4.2</v>
      </c>
      <c r="J62" s="11">
        <v>7.1</v>
      </c>
      <c r="K62" s="12">
        <v>9.3000000000000007</v>
      </c>
      <c r="L62" s="11">
        <v>14.5</v>
      </c>
      <c r="M62" s="12">
        <v>4.9000000000000004</v>
      </c>
      <c r="N62" s="11">
        <v>3.6</v>
      </c>
      <c r="O62" s="12">
        <v>9.1</v>
      </c>
      <c r="P62" s="11">
        <v>7.8</v>
      </c>
      <c r="Q62" s="83">
        <v>2.1</v>
      </c>
    </row>
    <row r="63" spans="1:17" ht="18.75" x14ac:dyDescent="0.25">
      <c r="A63" s="80">
        <v>45611</v>
      </c>
      <c r="B63" s="11">
        <v>495</v>
      </c>
      <c r="C63" s="12" t="s">
        <v>0</v>
      </c>
      <c r="D63" s="12">
        <v>13.6</v>
      </c>
      <c r="E63" s="12">
        <v>8.5</v>
      </c>
      <c r="F63" s="13">
        <v>9</v>
      </c>
      <c r="G63" s="13">
        <v>4</v>
      </c>
      <c r="H63" s="11">
        <v>9.6</v>
      </c>
      <c r="I63" s="12">
        <v>3.6</v>
      </c>
      <c r="J63" s="11">
        <v>4.0999999999999996</v>
      </c>
      <c r="K63" s="12">
        <v>9.6999999999999993</v>
      </c>
      <c r="L63" s="11">
        <v>12</v>
      </c>
      <c r="M63" s="12">
        <v>2.9</v>
      </c>
      <c r="N63" s="11">
        <v>1.6</v>
      </c>
      <c r="O63" s="12">
        <v>9.6</v>
      </c>
      <c r="P63" s="11">
        <v>5</v>
      </c>
      <c r="Q63" s="83">
        <v>0.7</v>
      </c>
    </row>
    <row r="64" spans="1:17" ht="18.75" x14ac:dyDescent="0.25">
      <c r="A64" s="80">
        <v>45616</v>
      </c>
      <c r="B64" s="11">
        <v>525</v>
      </c>
      <c r="C64" s="12" t="s">
        <v>1</v>
      </c>
      <c r="D64" s="12">
        <v>9.5</v>
      </c>
      <c r="E64" s="12">
        <v>14.2</v>
      </c>
      <c r="F64" s="13">
        <v>15</v>
      </c>
      <c r="G64" s="13">
        <v>2.9</v>
      </c>
      <c r="H64" s="11">
        <v>8.9</v>
      </c>
      <c r="I64" s="12">
        <v>4.5</v>
      </c>
      <c r="J64" s="11">
        <v>9.5</v>
      </c>
      <c r="K64" s="12">
        <v>9.1</v>
      </c>
      <c r="L64" s="11">
        <v>16</v>
      </c>
      <c r="M64" s="12">
        <v>5.7</v>
      </c>
      <c r="N64" s="11">
        <v>5.5</v>
      </c>
      <c r="O64" s="12">
        <v>8.9</v>
      </c>
      <c r="P64" s="11">
        <v>9</v>
      </c>
      <c r="Q64" s="83">
        <v>3.3</v>
      </c>
    </row>
    <row r="65" spans="1:22" ht="18.75" x14ac:dyDescent="0.25">
      <c r="A65" s="80">
        <v>45621</v>
      </c>
      <c r="B65" s="11">
        <v>500</v>
      </c>
      <c r="C65" s="12" t="s">
        <v>1</v>
      </c>
      <c r="D65" s="12">
        <v>9.5</v>
      </c>
      <c r="E65" s="12">
        <v>6.3</v>
      </c>
      <c r="F65" s="13">
        <v>12</v>
      </c>
      <c r="G65" s="13">
        <v>2.9</v>
      </c>
      <c r="H65" s="11">
        <v>9.4</v>
      </c>
      <c r="I65" s="12">
        <v>4.0999999999999996</v>
      </c>
      <c r="J65" s="11">
        <v>6.6</v>
      </c>
      <c r="K65" s="12">
        <v>9.4</v>
      </c>
      <c r="L65" s="11">
        <v>13.9</v>
      </c>
      <c r="M65" s="12">
        <v>4.7</v>
      </c>
      <c r="N65" s="11">
        <v>3.4</v>
      </c>
      <c r="O65" s="12">
        <v>9.4</v>
      </c>
      <c r="P65" s="11">
        <v>7.6</v>
      </c>
      <c r="Q65" s="83">
        <v>2</v>
      </c>
    </row>
    <row r="66" spans="1:22" ht="19.5" thickBot="1" x14ac:dyDescent="0.3">
      <c r="A66" s="81">
        <v>45626</v>
      </c>
      <c r="B66" s="14">
        <v>485</v>
      </c>
      <c r="C66" s="15" t="s">
        <v>0</v>
      </c>
      <c r="D66" s="15">
        <v>13</v>
      </c>
      <c r="E66" s="15">
        <v>12.5</v>
      </c>
      <c r="F66" s="16">
        <v>10</v>
      </c>
      <c r="G66" s="16">
        <v>3.7</v>
      </c>
      <c r="H66" s="14">
        <v>9.5</v>
      </c>
      <c r="I66" s="15">
        <v>3.7</v>
      </c>
      <c r="J66" s="14">
        <v>4.5</v>
      </c>
      <c r="K66" s="15">
        <v>9.6</v>
      </c>
      <c r="L66" s="14">
        <v>12.8</v>
      </c>
      <c r="M66" s="15">
        <v>3.2</v>
      </c>
      <c r="N66" s="14">
        <v>1.9</v>
      </c>
      <c r="O66" s="15">
        <v>9.5</v>
      </c>
      <c r="P66" s="14">
        <v>5.6</v>
      </c>
      <c r="Q66" s="84">
        <v>0.9</v>
      </c>
    </row>
    <row r="67" spans="1:22" ht="18.75" x14ac:dyDescent="0.25">
      <c r="A67" s="80">
        <v>45631</v>
      </c>
      <c r="B67" s="11">
        <v>510</v>
      </c>
      <c r="C67" s="12" t="s">
        <v>0</v>
      </c>
      <c r="D67" s="12">
        <v>13</v>
      </c>
      <c r="E67" s="12">
        <v>6.3</v>
      </c>
      <c r="F67" s="13">
        <v>10</v>
      </c>
      <c r="G67" s="13">
        <v>3.7</v>
      </c>
      <c r="H67" s="11">
        <v>9.4</v>
      </c>
      <c r="I67" s="12">
        <v>3.5</v>
      </c>
      <c r="J67" s="11">
        <v>4.5999999999999996</v>
      </c>
      <c r="K67" s="12">
        <v>9.6</v>
      </c>
      <c r="L67" s="11">
        <v>12.4</v>
      </c>
      <c r="M67" s="12">
        <v>3.4</v>
      </c>
      <c r="N67" s="11">
        <v>1.8</v>
      </c>
      <c r="O67" s="12">
        <v>9.4</v>
      </c>
      <c r="P67" s="11">
        <v>5.5</v>
      </c>
      <c r="Q67" s="83">
        <v>0.8</v>
      </c>
    </row>
    <row r="68" spans="1:22" ht="18.75" x14ac:dyDescent="0.25">
      <c r="A68" s="80">
        <v>45636</v>
      </c>
      <c r="B68" s="11">
        <v>505</v>
      </c>
      <c r="C68" s="12" t="s">
        <v>1</v>
      </c>
      <c r="D68" s="12">
        <v>13</v>
      </c>
      <c r="E68" s="12">
        <v>13.8</v>
      </c>
      <c r="F68" s="13">
        <v>12</v>
      </c>
      <c r="G68" s="13">
        <v>3.7</v>
      </c>
      <c r="H68" s="11">
        <v>9.1999999999999993</v>
      </c>
      <c r="I68" s="12">
        <v>4.0999999999999996</v>
      </c>
      <c r="J68" s="11">
        <v>6.8</v>
      </c>
      <c r="K68" s="12">
        <v>9.4</v>
      </c>
      <c r="L68" s="11">
        <v>14.3</v>
      </c>
      <c r="M68" s="12">
        <v>4.8</v>
      </c>
      <c r="N68" s="11">
        <v>3.5</v>
      </c>
      <c r="O68" s="12">
        <v>9.1999999999999993</v>
      </c>
      <c r="P68" s="11">
        <v>7.7</v>
      </c>
      <c r="Q68" s="83">
        <v>2</v>
      </c>
    </row>
    <row r="69" spans="1:22" ht="18.75" x14ac:dyDescent="0.25">
      <c r="A69" s="80">
        <v>45641</v>
      </c>
      <c r="B69" s="11">
        <v>495</v>
      </c>
      <c r="C69" s="12" t="s">
        <v>0</v>
      </c>
      <c r="D69" s="12">
        <v>9.9</v>
      </c>
      <c r="E69" s="12">
        <v>5.8</v>
      </c>
      <c r="F69" s="13">
        <v>9</v>
      </c>
      <c r="G69" s="13">
        <v>3.1</v>
      </c>
      <c r="H69" s="11">
        <v>9.6</v>
      </c>
      <c r="I69" s="12">
        <v>3.6</v>
      </c>
      <c r="J69" s="11">
        <v>4</v>
      </c>
      <c r="K69" s="12">
        <v>9.6999999999999993</v>
      </c>
      <c r="L69" s="11">
        <v>11.9</v>
      </c>
      <c r="M69" s="12">
        <v>2.9</v>
      </c>
      <c r="N69" s="11">
        <v>1.6</v>
      </c>
      <c r="O69" s="12">
        <v>9.6</v>
      </c>
      <c r="P69" s="11">
        <v>4.9000000000000004</v>
      </c>
      <c r="Q69" s="83">
        <v>0.7</v>
      </c>
    </row>
    <row r="70" spans="1:22" ht="18.75" x14ac:dyDescent="0.25">
      <c r="A70" s="80">
        <v>45646</v>
      </c>
      <c r="B70" s="11">
        <v>515</v>
      </c>
      <c r="C70" s="12" t="s">
        <v>1</v>
      </c>
      <c r="D70" s="12">
        <v>9.9</v>
      </c>
      <c r="E70" s="12">
        <v>8.5</v>
      </c>
      <c r="F70" s="13">
        <v>13</v>
      </c>
      <c r="G70" s="13">
        <v>3.1</v>
      </c>
      <c r="H70" s="11">
        <v>9.1</v>
      </c>
      <c r="I70" s="12">
        <v>4.3</v>
      </c>
      <c r="J70" s="11">
        <v>7.6</v>
      </c>
      <c r="K70" s="12">
        <v>9.3000000000000007</v>
      </c>
      <c r="L70" s="11">
        <v>14.9</v>
      </c>
      <c r="M70" s="12">
        <v>5.0999999999999996</v>
      </c>
      <c r="N70" s="11">
        <v>4.2</v>
      </c>
      <c r="O70" s="12">
        <v>9.1</v>
      </c>
      <c r="P70" s="11">
        <v>8.1</v>
      </c>
      <c r="Q70" s="83">
        <v>2.5</v>
      </c>
    </row>
    <row r="71" spans="1:22" ht="18.75" x14ac:dyDescent="0.25">
      <c r="A71" s="80">
        <v>45651</v>
      </c>
      <c r="B71" s="11">
        <v>500</v>
      </c>
      <c r="C71" s="12" t="s">
        <v>1</v>
      </c>
      <c r="D71" s="12">
        <v>14</v>
      </c>
      <c r="E71" s="12">
        <v>12.5</v>
      </c>
      <c r="F71" s="13">
        <v>12</v>
      </c>
      <c r="G71" s="13">
        <v>4.3</v>
      </c>
      <c r="H71" s="11">
        <v>9.1999999999999993</v>
      </c>
      <c r="I71" s="12">
        <v>4</v>
      </c>
      <c r="J71" s="11">
        <v>6.5</v>
      </c>
      <c r="K71" s="12">
        <v>9.4</v>
      </c>
      <c r="L71" s="11">
        <v>13.8</v>
      </c>
      <c r="M71" s="12">
        <v>4.5999999999999996</v>
      </c>
      <c r="N71" s="11">
        <v>3.2</v>
      </c>
      <c r="O71" s="12">
        <v>9.1999999999999993</v>
      </c>
      <c r="P71" s="11">
        <v>7.5</v>
      </c>
      <c r="Q71" s="83">
        <v>1.9</v>
      </c>
    </row>
    <row r="72" spans="1:22" ht="18.75" x14ac:dyDescent="0.25">
      <c r="A72" s="80">
        <v>45656</v>
      </c>
      <c r="B72" s="11">
        <v>490</v>
      </c>
      <c r="C72" s="12" t="s">
        <v>0</v>
      </c>
      <c r="D72" s="12">
        <v>14</v>
      </c>
      <c r="E72" s="12">
        <v>8.5</v>
      </c>
      <c r="F72" s="13">
        <v>10</v>
      </c>
      <c r="G72" s="13">
        <v>4.3</v>
      </c>
      <c r="H72" s="11">
        <v>9.5</v>
      </c>
      <c r="I72" s="12">
        <v>3.7</v>
      </c>
      <c r="J72" s="11">
        <v>4.3</v>
      </c>
      <c r="K72" s="12">
        <v>9.6</v>
      </c>
      <c r="L72" s="11">
        <v>12.5</v>
      </c>
      <c r="M72" s="12">
        <v>3.1</v>
      </c>
      <c r="N72" s="11">
        <v>1.7</v>
      </c>
      <c r="O72" s="12">
        <v>9.5</v>
      </c>
      <c r="P72" s="11">
        <v>5.3</v>
      </c>
      <c r="Q72" s="83">
        <v>0.8</v>
      </c>
    </row>
    <row r="74" spans="1:22" x14ac:dyDescent="0.25">
      <c r="A74" s="5"/>
      <c r="B74" s="1"/>
      <c r="C74" s="1"/>
      <c r="D74" s="1"/>
      <c r="E74" s="1"/>
      <c r="F74" s="3"/>
      <c r="G74" s="3"/>
      <c r="H74" s="1"/>
      <c r="I74" s="1"/>
      <c r="J74" s="1"/>
      <c r="K74" s="1"/>
      <c r="L74" s="1"/>
      <c r="M74" s="1"/>
      <c r="T74" s="1"/>
    </row>
    <row r="75" spans="1:22" x14ac:dyDescent="0.25">
      <c r="A75" s="5"/>
      <c r="B75" s="1"/>
      <c r="C75" s="1"/>
      <c r="D75" s="1"/>
      <c r="E75" s="1"/>
      <c r="F75" s="3"/>
      <c r="G75" s="3"/>
      <c r="H75" s="1"/>
      <c r="I75" s="1"/>
      <c r="J75" s="1"/>
      <c r="K75" s="1"/>
      <c r="L75" s="1"/>
      <c r="M75" s="1"/>
      <c r="T75" s="1"/>
    </row>
    <row r="76" spans="1:22" x14ac:dyDescent="0.25">
      <c r="A76" s="5"/>
      <c r="B76" s="1"/>
      <c r="C76" s="1"/>
      <c r="D76" s="1"/>
      <c r="E76" s="1"/>
      <c r="F76" s="3"/>
      <c r="G76" s="3"/>
      <c r="H76" s="1"/>
      <c r="I76" s="1"/>
      <c r="J76" s="1"/>
      <c r="K76" s="1"/>
      <c r="L76" s="1"/>
      <c r="M76" s="1"/>
      <c r="T76" s="1"/>
    </row>
    <row r="77" spans="1:22" x14ac:dyDescent="0.25">
      <c r="A77" s="5"/>
      <c r="B77" s="1"/>
      <c r="C77" s="1"/>
      <c r="D77" s="1"/>
      <c r="E77" s="1"/>
      <c r="F77" s="3"/>
      <c r="G77" s="3"/>
      <c r="H77" s="1"/>
      <c r="I77" s="1"/>
      <c r="J77" s="1"/>
      <c r="K77" s="1"/>
      <c r="L77" s="1"/>
      <c r="M77" s="1"/>
      <c r="T77" s="1"/>
    </row>
    <row r="78" spans="1:22" x14ac:dyDescent="0.25">
      <c r="A78" s="5"/>
      <c r="B78" s="1"/>
      <c r="C78" s="1"/>
      <c r="D78" s="1"/>
      <c r="E78" s="1"/>
      <c r="F78" s="3"/>
      <c r="G78" s="3"/>
      <c r="H78" s="1"/>
      <c r="I78" s="1"/>
      <c r="J78" s="1"/>
      <c r="K78" s="1"/>
      <c r="L78" s="1"/>
      <c r="M78" s="1"/>
      <c r="T78" s="1"/>
      <c r="U78" s="1"/>
      <c r="V78" s="1"/>
    </row>
    <row r="79" spans="1:22" x14ac:dyDescent="0.25">
      <c r="A79" s="5"/>
      <c r="B79" s="1"/>
      <c r="C79" s="1"/>
      <c r="D79" s="1"/>
      <c r="E79" s="1"/>
      <c r="F79" s="3"/>
      <c r="G79" s="3"/>
      <c r="H79" s="1"/>
      <c r="I79" s="1"/>
      <c r="J79" s="1"/>
      <c r="K79" s="1"/>
      <c r="L79" s="1"/>
      <c r="M79" s="1"/>
      <c r="T79" s="1"/>
      <c r="U79" s="1"/>
      <c r="V79" s="1"/>
    </row>
    <row r="80" spans="1:22" x14ac:dyDescent="0.25">
      <c r="A80" s="5"/>
      <c r="B80" s="1"/>
      <c r="C80" s="1"/>
      <c r="D80" s="1"/>
      <c r="E80" s="1"/>
      <c r="F80" s="3"/>
      <c r="G80" s="3"/>
      <c r="H80" s="1"/>
      <c r="I80" s="1"/>
      <c r="J80" s="1"/>
      <c r="K80" s="1"/>
      <c r="L80" s="1"/>
      <c r="M80" s="1"/>
      <c r="T80" s="1"/>
      <c r="V80" s="1"/>
    </row>
    <row r="81" spans="1:22" x14ac:dyDescent="0.25">
      <c r="A81" s="5"/>
      <c r="B81" s="1"/>
      <c r="C81" s="1"/>
      <c r="D81" s="1"/>
      <c r="E81" s="1"/>
      <c r="F81" s="3"/>
      <c r="G81" s="3"/>
      <c r="H81" s="1"/>
      <c r="I81" s="1"/>
      <c r="J81" s="1"/>
      <c r="K81" s="1"/>
      <c r="L81" s="1"/>
      <c r="M81" s="1"/>
      <c r="T81" s="1"/>
      <c r="V81" s="1"/>
    </row>
    <row r="82" spans="1:22" x14ac:dyDescent="0.25">
      <c r="A82" s="5"/>
      <c r="B82" s="4"/>
      <c r="C82" s="1"/>
      <c r="D82" s="1"/>
      <c r="E82" s="1"/>
      <c r="F82" s="3"/>
      <c r="G82" s="3"/>
      <c r="H82" s="1"/>
      <c r="I82" s="1"/>
      <c r="J82" s="1"/>
      <c r="K82" s="1"/>
      <c r="L82" s="1"/>
      <c r="M82" s="1"/>
      <c r="T82" s="1"/>
      <c r="V82" s="1"/>
    </row>
    <row r="83" spans="1:22" x14ac:dyDescent="0.25">
      <c r="A83" s="5"/>
      <c r="B83" s="1"/>
      <c r="C83" s="1"/>
      <c r="D83" s="1"/>
      <c r="E83" s="1"/>
      <c r="F83" s="3"/>
      <c r="G83" s="3"/>
      <c r="H83" s="1"/>
      <c r="I83" s="1"/>
      <c r="J83" s="1"/>
      <c r="K83" s="1"/>
      <c r="L83" s="1"/>
      <c r="M83" s="1"/>
      <c r="T83" s="1"/>
      <c r="V83" s="1"/>
    </row>
    <row r="84" spans="1:22" x14ac:dyDescent="0.25">
      <c r="A84" s="5"/>
      <c r="B84" s="1"/>
      <c r="C84" s="1"/>
      <c r="D84" s="1"/>
      <c r="E84" s="1"/>
      <c r="F84" s="3"/>
      <c r="G84" s="3"/>
      <c r="H84" s="1"/>
      <c r="I84" s="1"/>
      <c r="J84" s="1"/>
      <c r="K84" s="1"/>
      <c r="L84" s="1"/>
      <c r="M84" s="1"/>
      <c r="T84" s="1"/>
      <c r="V84" s="1"/>
    </row>
    <row r="85" spans="1:22" x14ac:dyDescent="0.25">
      <c r="A85" s="5"/>
      <c r="B85" s="1"/>
      <c r="C85" s="1"/>
      <c r="D85" s="1"/>
      <c r="E85" s="1"/>
      <c r="F85" s="3"/>
      <c r="G85" s="3"/>
      <c r="H85" s="1"/>
      <c r="I85" s="1"/>
      <c r="J85" s="1"/>
      <c r="K85" s="1"/>
      <c r="L85" s="1"/>
      <c r="M85" s="1"/>
      <c r="T85" s="1"/>
    </row>
  </sheetData>
  <sheetProtection algorithmName="SHA-512" hashValue="71tglm1ZRjvsfaxdU/CuX6t5NosXFb9FQo4HHYZyq0iHU1OfzyMBiMmdXMM4RvJ0MDbq2gDckbVH/2oma7VULg==" saltValue="4WK6nE3u2Irq79loEO64xQ==" spinCount="100000" sheet="1" formatCells="0" formatColumns="0" formatRows="0" insertColumns="0" insertRows="0" insertHyperlinks="0" deleteColumns="0" deleteRows="0" sort="0" autoFilter="0" pivotTables="0"/>
  <dataValidations count="1">
    <dataValidation type="list" allowBlank="1" showInputMessage="1" showErrorMessage="1" sqref="U1" xr:uid="{F669C939-0C8A-421F-A730-B5D6946FCB2E}">
      <formula1>"Hydrazine Kg_Day,DEHA Kg_Day"</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CA6D-8A43-45F5-8A28-0827368B3E59}">
  <sheetPr>
    <tabColor rgb="FFFF0000"/>
  </sheetPr>
  <dimension ref="A1:S18"/>
  <sheetViews>
    <sheetView workbookViewId="0">
      <selection activeCell="D6" sqref="D6"/>
    </sheetView>
  </sheetViews>
  <sheetFormatPr defaultRowHeight="15" x14ac:dyDescent="0.25"/>
  <cols>
    <col min="1" max="1" width="29.7109375" bestFit="1" customWidth="1"/>
    <col min="2" max="2" width="10.140625" customWidth="1"/>
    <col min="4" max="4" width="11.42578125" customWidth="1"/>
    <col min="5" max="5" width="10.140625" customWidth="1"/>
    <col min="6" max="6" width="12.140625" customWidth="1"/>
    <col min="7" max="7" width="22.7109375" customWidth="1"/>
  </cols>
  <sheetData>
    <row r="1" spans="1:19" ht="27" thickBot="1" x14ac:dyDescent="0.3">
      <c r="A1" s="53" t="s">
        <v>17</v>
      </c>
      <c r="B1" s="52"/>
      <c r="C1" s="52"/>
      <c r="D1" s="52"/>
      <c r="E1" s="52"/>
      <c r="F1" s="63"/>
      <c r="G1" s="105" t="s">
        <v>35</v>
      </c>
      <c r="S1" s="20"/>
    </row>
    <row r="2" spans="1:19" ht="63.75" thickBot="1" x14ac:dyDescent="0.3">
      <c r="A2" s="54" t="s">
        <v>18</v>
      </c>
      <c r="B2" s="62" t="s">
        <v>21</v>
      </c>
      <c r="C2" s="62" t="s">
        <v>20</v>
      </c>
      <c r="D2" s="62" t="s">
        <v>19</v>
      </c>
      <c r="E2" s="62" t="s">
        <v>34</v>
      </c>
      <c r="F2" s="64" t="s">
        <v>22</v>
      </c>
      <c r="G2" s="106"/>
    </row>
    <row r="3" spans="1:19" ht="27" thickBot="1" x14ac:dyDescent="0.3">
      <c r="A3" s="55" t="s">
        <v>23</v>
      </c>
      <c r="B3" s="65">
        <v>465</v>
      </c>
      <c r="C3" s="70">
        <v>537</v>
      </c>
      <c r="D3" s="65">
        <v>499.98591549295776</v>
      </c>
      <c r="E3" s="59"/>
      <c r="F3" s="60"/>
      <c r="G3" s="61"/>
    </row>
    <row r="4" spans="1:19" ht="21" x14ac:dyDescent="0.25">
      <c r="A4" s="56" t="s">
        <v>24</v>
      </c>
      <c r="B4" s="66">
        <v>9</v>
      </c>
      <c r="C4" s="58">
        <v>14</v>
      </c>
      <c r="D4" s="68">
        <v>11.799999999999995</v>
      </c>
      <c r="E4" s="91">
        <v>837.79999999999961</v>
      </c>
      <c r="F4" s="65">
        <v>1.7433172200083391</v>
      </c>
      <c r="G4" s="74">
        <v>-0.11990093519570155</v>
      </c>
    </row>
    <row r="5" spans="1:19" ht="21" x14ac:dyDescent="0.25">
      <c r="A5" s="56" t="s">
        <v>25</v>
      </c>
      <c r="B5" s="66">
        <v>1.5</v>
      </c>
      <c r="C5" s="58">
        <v>15</v>
      </c>
      <c r="D5" s="68">
        <v>9.1309859154929551</v>
      </c>
      <c r="E5" s="92">
        <v>648.29999999999984</v>
      </c>
      <c r="F5" s="66">
        <v>3.4928736927642365</v>
      </c>
      <c r="G5" s="72">
        <v>3.9723609284946997E-2</v>
      </c>
    </row>
    <row r="6" spans="1:19" ht="21" x14ac:dyDescent="0.25">
      <c r="A6" s="56" t="s">
        <v>29</v>
      </c>
      <c r="B6" s="66">
        <v>0</v>
      </c>
      <c r="C6" s="58">
        <v>17</v>
      </c>
      <c r="D6" s="68">
        <v>9.7887323943661979</v>
      </c>
      <c r="E6" s="92">
        <v>695</v>
      </c>
      <c r="F6" s="68">
        <v>3.7675990522517218</v>
      </c>
      <c r="G6" s="72">
        <v>0.2690688312714602</v>
      </c>
    </row>
    <row r="7" spans="1:19" ht="21.75" thickBot="1" x14ac:dyDescent="0.3">
      <c r="A7" s="56" t="s">
        <v>26</v>
      </c>
      <c r="B7" s="66">
        <v>2.5</v>
      </c>
      <c r="C7" s="58">
        <v>4.3</v>
      </c>
      <c r="D7" s="68">
        <v>3.4154929577464785</v>
      </c>
      <c r="E7" s="93">
        <v>242.49999999999997</v>
      </c>
      <c r="F7" s="68">
        <v>0.5239739503588301</v>
      </c>
      <c r="G7" s="72">
        <v>-7.6077660677988768E-2</v>
      </c>
    </row>
    <row r="8" spans="1:19" ht="21" x14ac:dyDescent="0.35">
      <c r="A8" s="56" t="s">
        <v>6</v>
      </c>
      <c r="B8" s="66">
        <v>8.1</v>
      </c>
      <c r="C8" s="58">
        <v>9.6999999999999993</v>
      </c>
      <c r="D8" s="68">
        <v>9.2816901408450718</v>
      </c>
      <c r="E8" s="75"/>
      <c r="F8" s="68">
        <v>0.25636124333817639</v>
      </c>
      <c r="G8" s="72">
        <v>-0.19653408126540539</v>
      </c>
      <c r="S8" s="7"/>
    </row>
    <row r="9" spans="1:19" ht="21" x14ac:dyDescent="0.35">
      <c r="A9" s="56" t="s">
        <v>7</v>
      </c>
      <c r="B9" s="66">
        <v>3.3</v>
      </c>
      <c r="C9" s="58">
        <v>4.7</v>
      </c>
      <c r="D9" s="68">
        <v>3.8690140845070404</v>
      </c>
      <c r="E9" s="75"/>
      <c r="F9" s="68">
        <v>0.34502155445865007</v>
      </c>
      <c r="G9" s="72">
        <v>0.29653217456486697</v>
      </c>
      <c r="S9" s="7"/>
    </row>
    <row r="10" spans="1:19" ht="21" x14ac:dyDescent="0.35">
      <c r="A10" s="56" t="s">
        <v>8</v>
      </c>
      <c r="B10" s="66">
        <v>3.5</v>
      </c>
      <c r="C10" s="58">
        <v>9.8000000000000007</v>
      </c>
      <c r="D10" s="68">
        <v>5.7732394366197193</v>
      </c>
      <c r="E10" s="75"/>
      <c r="F10" s="68">
        <v>1.6093877539828905</v>
      </c>
      <c r="G10" s="72">
        <v>0.29045014140645342</v>
      </c>
      <c r="S10" s="7"/>
    </row>
    <row r="11" spans="1:19" ht="21" x14ac:dyDescent="0.35">
      <c r="A11" s="56" t="s">
        <v>30</v>
      </c>
      <c r="B11" s="66">
        <v>8</v>
      </c>
      <c r="C11" s="58">
        <v>9.9</v>
      </c>
      <c r="D11" s="68">
        <v>9.4605633802816929</v>
      </c>
      <c r="E11" s="75"/>
      <c r="F11" s="68">
        <v>0.26509571656419934</v>
      </c>
      <c r="G11" s="72">
        <v>-0.32808404372557737</v>
      </c>
      <c r="S11" s="7"/>
    </row>
    <row r="12" spans="1:19" ht="21" x14ac:dyDescent="0.35">
      <c r="A12" s="56" t="s">
        <v>31</v>
      </c>
      <c r="B12" s="66">
        <v>6.7</v>
      </c>
      <c r="C12" s="58">
        <v>16.8</v>
      </c>
      <c r="D12" s="68">
        <v>13.195774647887317</v>
      </c>
      <c r="E12" s="75"/>
      <c r="F12" s="68">
        <v>1.6600048039739725</v>
      </c>
      <c r="G12" s="72">
        <v>0.33380693513671067</v>
      </c>
      <c r="S12" s="7"/>
    </row>
    <row r="13" spans="1:19" ht="21" x14ac:dyDescent="0.35">
      <c r="A13" s="56" t="s">
        <v>32</v>
      </c>
      <c r="B13" s="66">
        <v>2.7</v>
      </c>
      <c r="C13" s="58">
        <v>6</v>
      </c>
      <c r="D13" s="68">
        <v>4.0169014084507051</v>
      </c>
      <c r="E13" s="75"/>
      <c r="F13" s="68">
        <v>0.88984662636249612</v>
      </c>
      <c r="G13" s="72">
        <v>0.29226298161019482</v>
      </c>
      <c r="S13" s="7"/>
    </row>
    <row r="14" spans="1:19" ht="21" x14ac:dyDescent="0.35">
      <c r="A14" s="56" t="s">
        <v>33</v>
      </c>
      <c r="B14" s="66">
        <v>1.1000000000000001</v>
      </c>
      <c r="C14" s="58">
        <v>7.9</v>
      </c>
      <c r="D14" s="68">
        <v>3.2830985915492956</v>
      </c>
      <c r="E14" s="75"/>
      <c r="F14" s="68">
        <v>1.6961419283137635</v>
      </c>
      <c r="G14" s="72">
        <v>0.15409101493183275</v>
      </c>
      <c r="S14" s="7"/>
    </row>
    <row r="15" spans="1:19" ht="21" x14ac:dyDescent="0.35">
      <c r="A15" s="56" t="s">
        <v>9</v>
      </c>
      <c r="B15" s="66">
        <v>8.6999999999999993</v>
      </c>
      <c r="C15" s="58">
        <v>9.6999999999999993</v>
      </c>
      <c r="D15" s="68">
        <v>9.3014084507042263</v>
      </c>
      <c r="E15" s="75"/>
      <c r="F15" s="68">
        <v>0.21525808796797366</v>
      </c>
      <c r="G15" s="72">
        <v>-0.39201167242556717</v>
      </c>
      <c r="S15" s="7"/>
    </row>
    <row r="16" spans="1:19" ht="21" x14ac:dyDescent="0.35">
      <c r="A16" s="56" t="s">
        <v>10</v>
      </c>
      <c r="B16" s="66">
        <v>4.5</v>
      </c>
      <c r="C16" s="58">
        <v>9.5</v>
      </c>
      <c r="D16" s="68">
        <v>6.5267605633802823</v>
      </c>
      <c r="E16" s="75"/>
      <c r="F16" s="68">
        <v>1.4192794984719501</v>
      </c>
      <c r="G16" s="72">
        <v>0.26860286545647033</v>
      </c>
      <c r="S16" s="7"/>
    </row>
    <row r="17" spans="1:19" ht="21.75" thickBot="1" x14ac:dyDescent="0.4">
      <c r="A17" s="57" t="s">
        <v>11</v>
      </c>
      <c r="B17" s="67">
        <v>0.4</v>
      </c>
      <c r="C17" s="71">
        <v>7.8</v>
      </c>
      <c r="D17" s="69">
        <v>2.0830985915492954</v>
      </c>
      <c r="E17" s="76"/>
      <c r="F17" s="69">
        <v>1.8063258105728546</v>
      </c>
      <c r="G17" s="73">
        <v>0.10880424117743334</v>
      </c>
      <c r="S17" s="7"/>
    </row>
    <row r="18" spans="1:19" x14ac:dyDescent="0.25">
      <c r="A18" s="26"/>
    </row>
  </sheetData>
  <sheetProtection algorithmName="SHA-512" hashValue="W3ORaMIJsDDXiGVLSzFXRQALCOiNFv2pY8QTB1tID0jSPSfB+jlU5wTbNS6DSJw55zME6/bsVEkhrLshVjqc3A==" saltValue="7AFr5IHwGGeZOSLOuwcI/w==" spinCount="100000" sheet="1" formatCells="0" formatColumns="0" formatRows="0" insertColumns="0" insertRows="0" insertHyperlinks="0" deleteColumns="0" deleteRows="0" sort="0" autoFilter="0" pivotTables="0"/>
  <mergeCells count="1">
    <mergeCell ref="G1:G2"/>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B3B8-18F9-457E-8ADD-2AD0754AD604}">
  <dimension ref="A2:F18"/>
  <sheetViews>
    <sheetView topLeftCell="B1" workbookViewId="0">
      <selection activeCell="B7" sqref="B7"/>
    </sheetView>
  </sheetViews>
  <sheetFormatPr defaultRowHeight="15" x14ac:dyDescent="0.25"/>
  <cols>
    <col min="1" max="1" width="14.42578125" bestFit="1" customWidth="1"/>
    <col min="2" max="2" width="14.5703125" bestFit="1" customWidth="1"/>
    <col min="3" max="4" width="4.5703125" bestFit="1" customWidth="1"/>
    <col min="5" max="5" width="13.28515625" bestFit="1" customWidth="1"/>
    <col min="6" max="6" width="32.7109375" bestFit="1" customWidth="1"/>
    <col min="7" max="76" width="18.85546875" bestFit="1" customWidth="1"/>
    <col min="77" max="77" width="23.85546875" bestFit="1" customWidth="1"/>
    <col min="78" max="78" width="21.5703125" bestFit="1" customWidth="1"/>
    <col min="79" max="79" width="21.42578125" bestFit="1" customWidth="1"/>
    <col min="80" max="80" width="22.5703125" bestFit="1" customWidth="1"/>
    <col min="81" max="81" width="37.7109375" bestFit="1" customWidth="1"/>
    <col min="82" max="95" width="32.7109375" bestFit="1" customWidth="1"/>
    <col min="96" max="96" width="21.5703125" bestFit="1" customWidth="1"/>
    <col min="97" max="97" width="23.85546875" bestFit="1" customWidth="1"/>
    <col min="98" max="98" width="22.5703125" bestFit="1" customWidth="1"/>
    <col min="99" max="99" width="21.42578125" bestFit="1" customWidth="1"/>
    <col min="100" max="100" width="37.7109375" bestFit="1" customWidth="1"/>
  </cols>
  <sheetData>
    <row r="2" spans="1:6" x14ac:dyDescent="0.25">
      <c r="A2" s="77" t="s">
        <v>3</v>
      </c>
      <c r="B2" t="s">
        <v>41</v>
      </c>
    </row>
    <row r="3" spans="1:6" x14ac:dyDescent="0.25">
      <c r="A3" s="77" t="s">
        <v>16</v>
      </c>
      <c r="B3" t="s">
        <v>41</v>
      </c>
    </row>
    <row r="5" spans="1:6" x14ac:dyDescent="0.25">
      <c r="A5" s="77" t="s">
        <v>36</v>
      </c>
      <c r="B5" t="s">
        <v>44</v>
      </c>
      <c r="C5" t="s">
        <v>43</v>
      </c>
      <c r="D5" t="s">
        <v>46</v>
      </c>
      <c r="E5" t="s">
        <v>45</v>
      </c>
      <c r="F5" t="s">
        <v>40</v>
      </c>
    </row>
    <row r="6" spans="1:6" x14ac:dyDescent="0.25">
      <c r="A6" s="78" t="s">
        <v>57</v>
      </c>
      <c r="B6" s="2">
        <v>13.25</v>
      </c>
      <c r="C6" s="2">
        <v>9.25</v>
      </c>
      <c r="D6" s="2">
        <v>3.9166666666666665</v>
      </c>
      <c r="E6" s="2">
        <v>3.1666666666666665</v>
      </c>
      <c r="F6" s="2">
        <v>18.399999999999999</v>
      </c>
    </row>
    <row r="7" spans="1:6" x14ac:dyDescent="0.25">
      <c r="A7" s="78" t="s">
        <v>62</v>
      </c>
      <c r="B7" s="2">
        <v>12.919999999999998</v>
      </c>
      <c r="C7" s="2">
        <v>9.5</v>
      </c>
      <c r="D7" s="2">
        <v>3.78</v>
      </c>
      <c r="E7" s="2">
        <v>2.42</v>
      </c>
      <c r="F7" s="2">
        <v>16.400000000000002</v>
      </c>
    </row>
    <row r="8" spans="1:6" x14ac:dyDescent="0.25">
      <c r="A8" s="78" t="s">
        <v>58</v>
      </c>
      <c r="B8" s="2">
        <v>12.549999999999999</v>
      </c>
      <c r="C8" s="2">
        <v>9.5499999999999989</v>
      </c>
      <c r="D8" s="2">
        <v>4</v>
      </c>
      <c r="E8" s="2">
        <v>3.2666666666666662</v>
      </c>
      <c r="F8" s="2">
        <v>19.5</v>
      </c>
    </row>
    <row r="9" spans="1:6" x14ac:dyDescent="0.25">
      <c r="A9" s="78" t="s">
        <v>63</v>
      </c>
      <c r="B9" s="2">
        <v>13.516666666666666</v>
      </c>
      <c r="C9" s="2">
        <v>9.4833333333333325</v>
      </c>
      <c r="D9" s="2">
        <v>3.9333333333333336</v>
      </c>
      <c r="E9" s="2">
        <v>3.4499999999999997</v>
      </c>
      <c r="F9" s="2">
        <v>19.8</v>
      </c>
    </row>
    <row r="10" spans="1:6" x14ac:dyDescent="0.25">
      <c r="A10" s="78" t="s">
        <v>61</v>
      </c>
      <c r="B10" s="2">
        <v>13.383333333333333</v>
      </c>
      <c r="C10" s="2">
        <v>9.4500000000000011</v>
      </c>
      <c r="D10" s="2">
        <v>4.1333333333333329</v>
      </c>
      <c r="E10" s="2">
        <v>4.0999999999999996</v>
      </c>
      <c r="F10" s="2">
        <v>19.899999999999999</v>
      </c>
    </row>
    <row r="11" spans="1:6" x14ac:dyDescent="0.25">
      <c r="A11" s="78" t="s">
        <v>59</v>
      </c>
      <c r="B11" s="2">
        <v>12.166666666666666</v>
      </c>
      <c r="C11" s="2">
        <v>9.5499999999999989</v>
      </c>
      <c r="D11" s="2">
        <v>3.9</v>
      </c>
      <c r="E11" s="2">
        <v>2.4666666666666668</v>
      </c>
      <c r="F11" s="2">
        <v>20.399999999999999</v>
      </c>
    </row>
    <row r="12" spans="1:6" x14ac:dyDescent="0.25">
      <c r="A12" s="78" t="s">
        <v>64</v>
      </c>
      <c r="B12" s="2">
        <v>12.416666666666666</v>
      </c>
      <c r="C12" s="2">
        <v>9.4666666666666668</v>
      </c>
      <c r="D12" s="2">
        <v>3.9833333333333329</v>
      </c>
      <c r="E12" s="2">
        <v>3.6666666666666665</v>
      </c>
      <c r="F12" s="2">
        <v>20.5</v>
      </c>
    </row>
    <row r="13" spans="1:6" x14ac:dyDescent="0.25">
      <c r="A13" s="78" t="s">
        <v>60</v>
      </c>
      <c r="B13" s="2">
        <v>13.433333333333332</v>
      </c>
      <c r="C13" s="2">
        <v>9.4500000000000011</v>
      </c>
      <c r="D13" s="2">
        <v>4.1833333333333336</v>
      </c>
      <c r="E13" s="2">
        <v>3.65</v>
      </c>
      <c r="F13" s="2">
        <v>21</v>
      </c>
    </row>
    <row r="14" spans="1:6" x14ac:dyDescent="0.25">
      <c r="A14" s="78" t="s">
        <v>66</v>
      </c>
      <c r="B14" s="2">
        <v>14.466666666666667</v>
      </c>
      <c r="C14" s="2">
        <v>9.4</v>
      </c>
      <c r="D14" s="2">
        <v>4.2333333333333334</v>
      </c>
      <c r="E14" s="2">
        <v>4.75</v>
      </c>
      <c r="F14" s="2">
        <v>21.1</v>
      </c>
    </row>
    <row r="15" spans="1:6" x14ac:dyDescent="0.25">
      <c r="A15" s="78" t="s">
        <v>56</v>
      </c>
      <c r="B15" s="2">
        <v>13.283333333333333</v>
      </c>
      <c r="C15" s="2">
        <v>9.4833333333333325</v>
      </c>
      <c r="D15" s="2">
        <v>3.9666666666666668</v>
      </c>
      <c r="E15" s="2">
        <v>2.65</v>
      </c>
      <c r="F15" s="2">
        <v>21.599999999999998</v>
      </c>
    </row>
    <row r="16" spans="1:6" x14ac:dyDescent="0.25">
      <c r="A16" s="78" t="s">
        <v>65</v>
      </c>
      <c r="B16" s="2">
        <v>13.616666666666667</v>
      </c>
      <c r="C16" s="2">
        <v>9.4499999999999993</v>
      </c>
      <c r="D16" s="2">
        <v>4.1499999999999995</v>
      </c>
      <c r="E16" s="2">
        <v>2.9999999999999996</v>
      </c>
      <c r="F16" s="2">
        <v>21.7</v>
      </c>
    </row>
    <row r="17" spans="1:6" x14ac:dyDescent="0.25">
      <c r="A17" s="78" t="s">
        <v>67</v>
      </c>
      <c r="B17" s="2">
        <v>13.299999999999999</v>
      </c>
      <c r="C17" s="2">
        <v>9.5</v>
      </c>
      <c r="D17" s="2">
        <v>3.9833333333333329</v>
      </c>
      <c r="E17" s="2">
        <v>2.6666666666666665</v>
      </c>
      <c r="F17" s="2">
        <v>22.2</v>
      </c>
    </row>
    <row r="18" spans="1:6" x14ac:dyDescent="0.25">
      <c r="A18" s="78" t="s">
        <v>38</v>
      </c>
      <c r="B18" s="2">
        <v>13.195774647887317</v>
      </c>
      <c r="C18" s="2">
        <v>9.4605633802816929</v>
      </c>
      <c r="D18" s="2">
        <v>4.0169014084507051</v>
      </c>
      <c r="E18" s="2">
        <v>3.2830985915492956</v>
      </c>
      <c r="F18" s="2">
        <v>242.49999999999997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B7CAB-360F-4A32-9B75-E98C4342DD30}">
  <dimension ref="A2:D18"/>
  <sheetViews>
    <sheetView workbookViewId="0">
      <selection activeCell="A5" sqref="A5"/>
    </sheetView>
  </sheetViews>
  <sheetFormatPr defaultRowHeight="15" x14ac:dyDescent="0.25"/>
  <cols>
    <col min="1" max="1" width="14.42578125" bestFit="1" customWidth="1"/>
    <col min="2" max="2" width="24.85546875" bestFit="1" customWidth="1"/>
    <col min="3" max="3" width="23.7109375" bestFit="1" customWidth="1"/>
    <col min="4" max="4" width="19.5703125" bestFit="1" customWidth="1"/>
    <col min="5" max="5" width="23.5703125" bestFit="1" customWidth="1"/>
    <col min="6" max="7" width="23.42578125" bestFit="1" customWidth="1"/>
    <col min="8" max="10" width="4.5703125" bestFit="1" customWidth="1"/>
    <col min="11" max="15" width="5" bestFit="1" customWidth="1"/>
    <col min="16" max="16" width="4.5703125" bestFit="1" customWidth="1"/>
    <col min="17" max="17" width="27.140625" bestFit="1" customWidth="1"/>
    <col min="18" max="21" width="4.5703125" bestFit="1" customWidth="1"/>
    <col min="22" max="22" width="12" bestFit="1" customWidth="1"/>
    <col min="23" max="23" width="4.5703125" bestFit="1" customWidth="1"/>
    <col min="24" max="24" width="12" bestFit="1" customWidth="1"/>
    <col min="25" max="30" width="5" bestFit="1" customWidth="1"/>
    <col min="31" max="31" width="4.5703125" bestFit="1" customWidth="1"/>
    <col min="32" max="32" width="19.5703125" bestFit="1" customWidth="1"/>
    <col min="33" max="34" width="4.5703125" bestFit="1" customWidth="1"/>
    <col min="35" max="37" width="5.5703125" bestFit="1" customWidth="1"/>
    <col min="38" max="38" width="4.5703125" bestFit="1" customWidth="1"/>
    <col min="39" max="39" width="6.5703125" bestFit="1" customWidth="1"/>
    <col min="40" max="40" width="5.5703125" bestFit="1" customWidth="1"/>
    <col min="41" max="41" width="5" bestFit="1" customWidth="1"/>
    <col min="42" max="44" width="5.5703125" bestFit="1" customWidth="1"/>
    <col min="45" max="45" width="5" bestFit="1" customWidth="1"/>
    <col min="46" max="46" width="5.5703125" bestFit="1" customWidth="1"/>
    <col min="47" max="47" width="24.85546875" bestFit="1" customWidth="1"/>
    <col min="48" max="49" width="4.5703125" bestFit="1" customWidth="1"/>
    <col min="50" max="51" width="5" bestFit="1" customWidth="1"/>
    <col min="52" max="53" width="4.5703125" bestFit="1" customWidth="1"/>
    <col min="54" max="54" width="12" bestFit="1" customWidth="1"/>
    <col min="55" max="60" width="5" bestFit="1" customWidth="1"/>
    <col min="61" max="61" width="4.5703125" bestFit="1" customWidth="1"/>
    <col min="62" max="62" width="23.7109375" bestFit="1" customWidth="1"/>
    <col min="63" max="64" width="4.5703125" bestFit="1" customWidth="1"/>
    <col min="65" max="67" width="5.5703125" bestFit="1" customWidth="1"/>
    <col min="68" max="68" width="4.5703125" bestFit="1" customWidth="1"/>
    <col min="69" max="69" width="6.5703125" bestFit="1" customWidth="1"/>
    <col min="70" max="76" width="5.5703125" bestFit="1" customWidth="1"/>
    <col min="77" max="77" width="23.42578125" bestFit="1" customWidth="1"/>
    <col min="78" max="78" width="5.5703125" bestFit="1" customWidth="1"/>
    <col min="79" max="79" width="4.5703125" bestFit="1" customWidth="1"/>
    <col min="80" max="81" width="5.5703125" bestFit="1" customWidth="1"/>
    <col min="82" max="82" width="6.5703125" bestFit="1" customWidth="1"/>
    <col min="83" max="83" width="4.5703125" bestFit="1" customWidth="1"/>
    <col min="84" max="84" width="6.5703125" bestFit="1" customWidth="1"/>
    <col min="85" max="89" width="5.5703125" bestFit="1" customWidth="1"/>
    <col min="90" max="90" width="5" bestFit="1" customWidth="1"/>
    <col min="91" max="91" width="5.5703125" bestFit="1" customWidth="1"/>
    <col min="92" max="92" width="29.85546875" bestFit="1" customWidth="1"/>
    <col min="93" max="93" width="32.140625" bestFit="1" customWidth="1"/>
    <col min="94" max="94" width="24.5703125" bestFit="1" customWidth="1"/>
    <col min="95" max="95" width="30" bestFit="1" customWidth="1"/>
    <col min="96" max="96" width="28.7109375" bestFit="1" customWidth="1"/>
    <col min="97" max="97" width="28.42578125" bestFit="1" customWidth="1"/>
    <col min="98" max="98" width="4.5703125" bestFit="1" customWidth="1"/>
    <col min="99" max="99" width="10.42578125" bestFit="1" customWidth="1"/>
    <col min="100" max="100" width="5.5703125" bestFit="1" customWidth="1"/>
    <col min="101" max="103" width="4.5703125" bestFit="1" customWidth="1"/>
    <col min="104" max="105" width="5" bestFit="1" customWidth="1"/>
    <col min="106" max="106" width="4.5703125" bestFit="1" customWidth="1"/>
    <col min="107" max="107" width="10.42578125" bestFit="1" customWidth="1"/>
    <col min="108" max="108" width="5.5703125" bestFit="1" customWidth="1"/>
    <col min="109" max="109" width="4.5703125" bestFit="1" customWidth="1"/>
    <col min="110" max="110" width="5" bestFit="1" customWidth="1"/>
    <col min="111" max="111" width="4.5703125" bestFit="1" customWidth="1"/>
    <col min="112" max="112" width="10.42578125" bestFit="1" customWidth="1"/>
    <col min="113" max="113" width="5.5703125" bestFit="1" customWidth="1"/>
    <col min="114" max="114" width="10.42578125" bestFit="1" customWidth="1"/>
    <col min="115" max="115" width="5.5703125" bestFit="1" customWidth="1"/>
    <col min="116" max="116" width="5" bestFit="1" customWidth="1"/>
    <col min="117" max="117" width="10.42578125" bestFit="1" customWidth="1"/>
    <col min="118" max="118" width="5.5703125" bestFit="1" customWidth="1"/>
    <col min="119" max="119" width="10.42578125" bestFit="1" customWidth="1"/>
    <col min="120" max="120" width="5.5703125" bestFit="1" customWidth="1"/>
    <col min="121" max="121" width="10.42578125" bestFit="1" customWidth="1"/>
    <col min="122" max="122" width="19.5703125" bestFit="1" customWidth="1"/>
    <col min="123" max="123" width="5" bestFit="1" customWidth="1"/>
    <col min="124" max="124" width="9.42578125" bestFit="1" customWidth="1"/>
    <col min="125" max="125" width="5" bestFit="1" customWidth="1"/>
    <col min="126" max="126" width="9.42578125" bestFit="1" customWidth="1"/>
    <col min="127" max="127" width="4.5703125" bestFit="1" customWidth="1"/>
    <col min="128" max="128" width="5" bestFit="1" customWidth="1"/>
    <col min="129" max="129" width="9.42578125" bestFit="1" customWidth="1"/>
    <col min="130" max="130" width="4.5703125" bestFit="1" customWidth="1"/>
    <col min="131" max="131" width="9.42578125" bestFit="1" customWidth="1"/>
    <col min="132" max="132" width="4.5703125" bestFit="1" customWidth="1"/>
    <col min="133" max="133" width="5.5703125" bestFit="1" customWidth="1"/>
    <col min="134" max="134" width="5" bestFit="1" customWidth="1"/>
    <col min="135" max="135" width="9.42578125" bestFit="1" customWidth="1"/>
    <col min="136" max="136" width="5.5703125" bestFit="1" customWidth="1"/>
    <col min="137" max="137" width="4.5703125" bestFit="1" customWidth="1"/>
    <col min="138" max="138" width="9.42578125" bestFit="1" customWidth="1"/>
    <col min="139" max="139" width="4.5703125" bestFit="1" customWidth="1"/>
    <col min="140" max="140" width="9.42578125" bestFit="1" customWidth="1"/>
    <col min="141" max="141" width="4.5703125" bestFit="1" customWidth="1"/>
    <col min="142" max="142" width="5.5703125" bestFit="1" customWidth="1"/>
    <col min="143" max="144" width="4.5703125" bestFit="1" customWidth="1"/>
    <col min="145" max="145" width="5.5703125" bestFit="1" customWidth="1"/>
    <col min="146" max="147" width="5" bestFit="1" customWidth="1"/>
    <col min="148" max="148" width="9.42578125" bestFit="1" customWidth="1"/>
    <col min="149" max="154" width="5.5703125" bestFit="1" customWidth="1"/>
    <col min="155" max="155" width="10.42578125" bestFit="1" customWidth="1"/>
    <col min="156" max="158" width="5.5703125" bestFit="1" customWidth="1"/>
    <col min="159" max="159" width="10.42578125" bestFit="1" customWidth="1"/>
    <col min="160" max="166" width="5.5703125" bestFit="1" customWidth="1"/>
    <col min="167" max="167" width="10.42578125" bestFit="1" customWidth="1"/>
    <col min="168" max="171" width="5.5703125" bestFit="1" customWidth="1"/>
    <col min="172" max="172" width="10.42578125" bestFit="1" customWidth="1"/>
    <col min="173" max="173" width="5.5703125" bestFit="1" customWidth="1"/>
    <col min="174" max="174" width="10.42578125" bestFit="1" customWidth="1"/>
    <col min="175" max="176" width="5.5703125" bestFit="1" customWidth="1"/>
    <col min="177" max="177" width="10.42578125" bestFit="1" customWidth="1"/>
    <col min="178" max="178" width="5.5703125" bestFit="1" customWidth="1"/>
    <col min="179" max="179" width="10.42578125" bestFit="1" customWidth="1"/>
    <col min="180" max="180" width="5.5703125" bestFit="1" customWidth="1"/>
    <col min="181" max="181" width="10.42578125" bestFit="1" customWidth="1"/>
    <col min="182" max="182" width="24.85546875" bestFit="1" customWidth="1"/>
    <col min="183" max="183" width="5" bestFit="1" customWidth="1"/>
    <col min="184" max="184" width="9.42578125" bestFit="1" customWidth="1"/>
    <col min="185" max="185" width="5" bestFit="1" customWidth="1"/>
    <col min="186" max="186" width="9.42578125" bestFit="1" customWidth="1"/>
    <col min="187" max="187" width="4.5703125" bestFit="1" customWidth="1"/>
    <col min="188" max="188" width="5" bestFit="1" customWidth="1"/>
    <col min="189" max="189" width="9.42578125" bestFit="1" customWidth="1"/>
    <col min="190" max="190" width="4.5703125" bestFit="1" customWidth="1"/>
    <col min="191" max="191" width="9.42578125" bestFit="1" customWidth="1"/>
    <col min="192" max="193" width="4.5703125" bestFit="1" customWidth="1"/>
    <col min="194" max="194" width="5" bestFit="1" customWidth="1"/>
    <col min="195" max="195" width="9.42578125" bestFit="1" customWidth="1"/>
    <col min="196" max="197" width="4.5703125" bestFit="1" customWidth="1"/>
    <col min="198" max="198" width="9.42578125" bestFit="1" customWidth="1"/>
    <col min="199" max="199" width="4.5703125" bestFit="1" customWidth="1"/>
    <col min="200" max="200" width="9.42578125" bestFit="1" customWidth="1"/>
    <col min="201" max="205" width="4.5703125" bestFit="1" customWidth="1"/>
    <col min="206" max="207" width="5" bestFit="1" customWidth="1"/>
    <col min="208" max="208" width="9.42578125" bestFit="1" customWidth="1"/>
    <col min="209" max="209" width="5.5703125" bestFit="1" customWidth="1"/>
    <col min="210" max="211" width="4.5703125" bestFit="1" customWidth="1"/>
    <col min="212" max="214" width="5" bestFit="1" customWidth="1"/>
    <col min="215" max="215" width="10.42578125" bestFit="1" customWidth="1"/>
    <col min="216" max="216" width="5.5703125" bestFit="1" customWidth="1"/>
    <col min="217" max="217" width="5" bestFit="1" customWidth="1"/>
    <col min="218" max="218" width="4.5703125" bestFit="1" customWidth="1"/>
    <col min="219" max="219" width="10.42578125" bestFit="1" customWidth="1"/>
    <col min="220" max="220" width="5.5703125" bestFit="1" customWidth="1"/>
    <col min="221" max="223" width="4.5703125" bestFit="1" customWidth="1"/>
    <col min="224" max="225" width="5" bestFit="1" customWidth="1"/>
    <col min="226" max="226" width="4.5703125" bestFit="1" customWidth="1"/>
    <col min="227" max="227" width="10.42578125" bestFit="1" customWidth="1"/>
    <col min="228" max="228" width="5.5703125" bestFit="1" customWidth="1"/>
    <col min="229" max="229" width="4.5703125" bestFit="1" customWidth="1"/>
    <col min="230" max="230" width="5" bestFit="1" customWidth="1"/>
    <col min="231" max="231" width="4.5703125" bestFit="1" customWidth="1"/>
    <col min="232" max="232" width="10.42578125" bestFit="1" customWidth="1"/>
    <col min="233" max="233" width="5.5703125" bestFit="1" customWidth="1"/>
    <col min="234" max="234" width="10.42578125" bestFit="1" customWidth="1"/>
    <col min="235" max="235" width="5.5703125" bestFit="1" customWidth="1"/>
    <col min="236" max="236" width="5" bestFit="1" customWidth="1"/>
    <col min="237" max="237" width="10.42578125" bestFit="1" customWidth="1"/>
    <col min="238" max="238" width="5.5703125" bestFit="1" customWidth="1"/>
    <col min="239" max="239" width="10.42578125" bestFit="1" customWidth="1"/>
    <col min="240" max="240" width="5.5703125" bestFit="1" customWidth="1"/>
    <col min="241" max="241" width="10.42578125" bestFit="1" customWidth="1"/>
    <col min="242" max="242" width="23.7109375" bestFit="1" customWidth="1"/>
    <col min="243" max="243" width="5.5703125" bestFit="1" customWidth="1"/>
    <col min="244" max="244" width="9.42578125" bestFit="1" customWidth="1"/>
    <col min="245" max="245" width="5.5703125" bestFit="1" customWidth="1"/>
    <col min="246" max="246" width="9.42578125" bestFit="1" customWidth="1"/>
    <col min="247" max="247" width="4.5703125" bestFit="1" customWidth="1"/>
    <col min="248" max="248" width="5.5703125" bestFit="1" customWidth="1"/>
    <col min="249" max="249" width="9.42578125" bestFit="1" customWidth="1"/>
    <col min="250" max="250" width="4.5703125" bestFit="1" customWidth="1"/>
    <col min="251" max="251" width="9.42578125" bestFit="1" customWidth="1"/>
    <col min="252" max="252" width="4.5703125" bestFit="1" customWidth="1"/>
    <col min="253" max="254" width="5.5703125" bestFit="1" customWidth="1"/>
    <col min="255" max="255" width="9.42578125" bestFit="1" customWidth="1"/>
    <col min="256" max="257" width="5.5703125" bestFit="1" customWidth="1"/>
    <col min="258" max="258" width="9.42578125" bestFit="1" customWidth="1"/>
    <col min="259" max="259" width="4.5703125" bestFit="1" customWidth="1"/>
    <col min="260" max="260" width="9.42578125" bestFit="1" customWidth="1"/>
    <col min="261" max="261" width="4.5703125" bestFit="1" customWidth="1"/>
    <col min="262" max="262" width="5.5703125" bestFit="1" customWidth="1"/>
    <col min="263" max="264" width="4.5703125" bestFit="1" customWidth="1"/>
    <col min="265" max="267" width="5.5703125" bestFit="1" customWidth="1"/>
    <col min="268" max="268" width="9.42578125" bestFit="1" customWidth="1"/>
    <col min="269" max="270" width="5.5703125" bestFit="1" customWidth="1"/>
    <col min="271" max="271" width="4.5703125" bestFit="1" customWidth="1"/>
    <col min="272" max="274" width="5.5703125" bestFit="1" customWidth="1"/>
    <col min="275" max="275" width="10.42578125" bestFit="1" customWidth="1"/>
    <col min="276" max="278" width="5.5703125" bestFit="1" customWidth="1"/>
    <col min="279" max="279" width="10.42578125" bestFit="1" customWidth="1"/>
    <col min="280" max="280" width="5.5703125" bestFit="1" customWidth="1"/>
    <col min="281" max="281" width="4.5703125" bestFit="1" customWidth="1"/>
    <col min="282" max="286" width="5.5703125" bestFit="1" customWidth="1"/>
    <col min="287" max="287" width="10.42578125" bestFit="1" customWidth="1"/>
    <col min="288" max="291" width="5.5703125" bestFit="1" customWidth="1"/>
    <col min="292" max="292" width="10.42578125" bestFit="1" customWidth="1"/>
    <col min="293" max="293" width="5.5703125" bestFit="1" customWidth="1"/>
    <col min="294" max="294" width="10.42578125" bestFit="1" customWidth="1"/>
    <col min="295" max="296" width="5.5703125" bestFit="1" customWidth="1"/>
    <col min="297" max="297" width="10.42578125" bestFit="1" customWidth="1"/>
    <col min="298" max="298" width="5.5703125" bestFit="1" customWidth="1"/>
    <col min="299" max="299" width="10.42578125" bestFit="1" customWidth="1"/>
    <col min="300" max="300" width="5.5703125" bestFit="1" customWidth="1"/>
    <col min="301" max="301" width="10.42578125" bestFit="1" customWidth="1"/>
    <col min="302" max="302" width="23.42578125" bestFit="1" customWidth="1"/>
    <col min="303" max="303" width="5.5703125" bestFit="1" customWidth="1"/>
    <col min="304" max="304" width="9.42578125" bestFit="1" customWidth="1"/>
    <col min="305" max="305" width="5" bestFit="1" customWidth="1"/>
    <col min="306" max="306" width="9.42578125" bestFit="1" customWidth="1"/>
    <col min="307" max="308" width="5.5703125" bestFit="1" customWidth="1"/>
    <col min="309" max="309" width="9.42578125" bestFit="1" customWidth="1"/>
    <col min="310" max="310" width="4.5703125" bestFit="1" customWidth="1"/>
    <col min="311" max="311" width="9.42578125" bestFit="1" customWidth="1"/>
    <col min="312" max="312" width="4.5703125" bestFit="1" customWidth="1"/>
    <col min="313" max="314" width="5.5703125" bestFit="1" customWidth="1"/>
    <col min="315" max="315" width="9.42578125" bestFit="1" customWidth="1"/>
    <col min="316" max="316" width="5.5703125" bestFit="1" customWidth="1"/>
    <col min="317" max="317" width="4.5703125" bestFit="1" customWidth="1"/>
    <col min="318" max="318" width="9.42578125" bestFit="1" customWidth="1"/>
    <col min="319" max="319" width="5.5703125" bestFit="1" customWidth="1"/>
    <col min="320" max="320" width="9.42578125" bestFit="1" customWidth="1"/>
    <col min="321" max="323" width="5.5703125" bestFit="1" customWidth="1"/>
    <col min="324" max="324" width="4.5703125" bestFit="1" customWidth="1"/>
    <col min="325" max="327" width="5.5703125" bestFit="1" customWidth="1"/>
    <col min="328" max="328" width="9.42578125" bestFit="1" customWidth="1"/>
    <col min="329" max="334" width="5.5703125" bestFit="1" customWidth="1"/>
    <col min="335" max="335" width="10.42578125" bestFit="1" customWidth="1"/>
    <col min="336" max="338" width="5.5703125" bestFit="1" customWidth="1"/>
    <col min="339" max="339" width="10.42578125" bestFit="1" customWidth="1"/>
    <col min="340" max="340" width="5.5703125" bestFit="1" customWidth="1"/>
    <col min="341" max="341" width="4.5703125" bestFit="1" customWidth="1"/>
    <col min="342" max="346" width="5.5703125" bestFit="1" customWidth="1"/>
    <col min="347" max="347" width="10.42578125" bestFit="1" customWidth="1"/>
    <col min="348" max="349" width="5.5703125" bestFit="1" customWidth="1"/>
    <col min="350" max="350" width="5" bestFit="1" customWidth="1"/>
    <col min="351" max="351" width="5.5703125" bestFit="1" customWidth="1"/>
    <col min="352" max="352" width="10.42578125" bestFit="1" customWidth="1"/>
    <col min="353" max="353" width="5.5703125" bestFit="1" customWidth="1"/>
    <col min="354" max="354" width="10.42578125" bestFit="1" customWidth="1"/>
    <col min="355" max="355" width="5.5703125" bestFit="1" customWidth="1"/>
    <col min="356" max="356" width="5" bestFit="1" customWidth="1"/>
    <col min="357" max="357" width="10.42578125" bestFit="1" customWidth="1"/>
    <col min="358" max="358" width="5.5703125" bestFit="1" customWidth="1"/>
    <col min="359" max="359" width="10.42578125" bestFit="1" customWidth="1"/>
    <col min="360" max="360" width="5.5703125" bestFit="1" customWidth="1"/>
    <col min="361" max="361" width="10.42578125" bestFit="1" customWidth="1"/>
    <col min="362" max="362" width="27.42578125" bestFit="1" customWidth="1"/>
    <col min="363" max="363" width="29.85546875" bestFit="1" customWidth="1"/>
    <col min="364" max="364" width="25.85546875" bestFit="1" customWidth="1"/>
    <col min="365" max="365" width="27.5703125" bestFit="1" customWidth="1"/>
    <col min="366" max="366" width="30" bestFit="1" customWidth="1"/>
    <col min="367" max="367" width="29.7109375" bestFit="1" customWidth="1"/>
    <col min="368" max="368" width="27.42578125" bestFit="1" customWidth="1"/>
    <col min="369" max="369" width="29.85546875" bestFit="1" customWidth="1"/>
    <col min="370" max="370" width="25.85546875" bestFit="1" customWidth="1"/>
    <col min="371" max="371" width="27.5703125" bestFit="1" customWidth="1"/>
    <col min="372" max="372" width="30" bestFit="1" customWidth="1"/>
    <col min="373" max="373" width="29.7109375" bestFit="1" customWidth="1"/>
    <col min="374" max="374" width="27.42578125" bestFit="1" customWidth="1"/>
    <col min="375" max="375" width="29.85546875" bestFit="1" customWidth="1"/>
    <col min="376" max="376" width="25.85546875" bestFit="1" customWidth="1"/>
    <col min="377" max="377" width="27.5703125" bestFit="1" customWidth="1"/>
    <col min="378" max="378" width="30" bestFit="1" customWidth="1"/>
    <col min="379" max="379" width="29.7109375" bestFit="1" customWidth="1"/>
    <col min="380" max="380" width="27.42578125" bestFit="1" customWidth="1"/>
    <col min="381" max="381" width="29.85546875" bestFit="1" customWidth="1"/>
    <col min="382" max="382" width="25.85546875" bestFit="1" customWidth="1"/>
    <col min="383" max="383" width="27.5703125" bestFit="1" customWidth="1"/>
    <col min="384" max="384" width="30" bestFit="1" customWidth="1"/>
    <col min="385" max="385" width="29.7109375" bestFit="1" customWidth="1"/>
    <col min="386" max="386" width="27.42578125" bestFit="1" customWidth="1"/>
    <col min="387" max="387" width="29.85546875" bestFit="1" customWidth="1"/>
    <col min="388" max="388" width="25.85546875" bestFit="1" customWidth="1"/>
    <col min="389" max="389" width="27.5703125" bestFit="1" customWidth="1"/>
    <col min="390" max="390" width="30" bestFit="1" customWidth="1"/>
    <col min="391" max="391" width="29.7109375" bestFit="1" customWidth="1"/>
    <col min="392" max="392" width="27.42578125" bestFit="1" customWidth="1"/>
    <col min="393" max="393" width="29.85546875" bestFit="1" customWidth="1"/>
    <col min="394" max="394" width="25.85546875" bestFit="1" customWidth="1"/>
    <col min="395" max="395" width="27.5703125" bestFit="1" customWidth="1"/>
    <col min="396" max="396" width="30" bestFit="1" customWidth="1"/>
    <col min="397" max="397" width="29.7109375" bestFit="1" customWidth="1"/>
    <col min="398" max="398" width="27.42578125" bestFit="1" customWidth="1"/>
    <col min="399" max="399" width="29.85546875" bestFit="1" customWidth="1"/>
    <col min="400" max="400" width="25.85546875" bestFit="1" customWidth="1"/>
    <col min="401" max="401" width="27.5703125" bestFit="1" customWidth="1"/>
    <col min="402" max="402" width="30" bestFit="1" customWidth="1"/>
    <col min="403" max="403" width="29.7109375" bestFit="1" customWidth="1"/>
    <col min="404" max="404" width="27.42578125" bestFit="1" customWidth="1"/>
    <col min="405" max="405" width="29.85546875" bestFit="1" customWidth="1"/>
    <col min="406" max="406" width="25.85546875" bestFit="1" customWidth="1"/>
    <col min="407" max="407" width="27.5703125" bestFit="1" customWidth="1"/>
    <col min="408" max="408" width="30" bestFit="1" customWidth="1"/>
    <col min="409" max="409" width="29.7109375" bestFit="1" customWidth="1"/>
    <col min="410" max="410" width="27.42578125" bestFit="1" customWidth="1"/>
    <col min="411" max="411" width="29.85546875" bestFit="1" customWidth="1"/>
    <col min="412" max="412" width="25.85546875" bestFit="1" customWidth="1"/>
    <col min="413" max="413" width="27.5703125" bestFit="1" customWidth="1"/>
    <col min="414" max="414" width="30" bestFit="1" customWidth="1"/>
    <col min="415" max="415" width="29.7109375" bestFit="1" customWidth="1"/>
    <col min="416" max="416" width="28.42578125" bestFit="1" customWidth="1"/>
    <col min="417" max="417" width="30.85546875" bestFit="1" customWidth="1"/>
    <col min="418" max="418" width="26.85546875" bestFit="1" customWidth="1"/>
    <col min="419" max="419" width="28.5703125" bestFit="1" customWidth="1"/>
    <col min="420" max="420" width="31" bestFit="1" customWidth="1"/>
    <col min="421" max="421" width="30.7109375" bestFit="1" customWidth="1"/>
    <col min="422" max="422" width="28.42578125" bestFit="1" customWidth="1"/>
    <col min="423" max="423" width="30.85546875" bestFit="1" customWidth="1"/>
    <col min="424" max="424" width="26.85546875" bestFit="1" customWidth="1"/>
    <col min="425" max="425" width="28.5703125" bestFit="1" customWidth="1"/>
    <col min="426" max="426" width="31" bestFit="1" customWidth="1"/>
    <col min="427" max="427" width="30.7109375" bestFit="1" customWidth="1"/>
    <col min="428" max="428" width="28.42578125" bestFit="1" customWidth="1"/>
    <col min="429" max="429" width="30.85546875" bestFit="1" customWidth="1"/>
    <col min="430" max="430" width="26.85546875" bestFit="1" customWidth="1"/>
    <col min="431" max="431" width="28.5703125" bestFit="1" customWidth="1"/>
    <col min="432" max="432" width="31" bestFit="1" customWidth="1"/>
    <col min="433" max="433" width="30.7109375" bestFit="1" customWidth="1"/>
    <col min="434" max="434" width="28.42578125" bestFit="1" customWidth="1"/>
    <col min="435" max="435" width="30.85546875" bestFit="1" customWidth="1"/>
    <col min="436" max="436" width="26.85546875" bestFit="1" customWidth="1"/>
    <col min="437" max="437" width="28.5703125" bestFit="1" customWidth="1"/>
    <col min="438" max="438" width="31" bestFit="1" customWidth="1"/>
    <col min="439" max="439" width="30.7109375" bestFit="1" customWidth="1"/>
    <col min="440" max="440" width="28.42578125" bestFit="1" customWidth="1"/>
    <col min="441" max="441" width="30.85546875" bestFit="1" customWidth="1"/>
    <col min="442" max="442" width="26.85546875" bestFit="1" customWidth="1"/>
    <col min="443" max="443" width="28.5703125" bestFit="1" customWidth="1"/>
    <col min="444" max="444" width="31" bestFit="1" customWidth="1"/>
    <col min="445" max="445" width="30.7109375" bestFit="1" customWidth="1"/>
    <col min="446" max="446" width="26.85546875" bestFit="1" customWidth="1"/>
    <col min="447" max="447" width="29.140625" bestFit="1" customWidth="1"/>
    <col min="448" max="448" width="25.140625" bestFit="1" customWidth="1"/>
    <col min="449" max="449" width="27" bestFit="1" customWidth="1"/>
    <col min="450" max="450" width="29.28515625" bestFit="1" customWidth="1"/>
    <col min="451" max="451" width="29" bestFit="1" customWidth="1"/>
    <col min="452" max="452" width="29.85546875" bestFit="1" customWidth="1"/>
    <col min="453" max="453" width="32.140625" bestFit="1" customWidth="1"/>
    <col min="454" max="454" width="24.5703125" bestFit="1" customWidth="1"/>
    <col min="455" max="455" width="30" bestFit="1" customWidth="1"/>
    <col min="456" max="456" width="28.7109375" bestFit="1" customWidth="1"/>
    <col min="457" max="457" width="28.42578125" bestFit="1" customWidth="1"/>
  </cols>
  <sheetData>
    <row r="2" spans="1:4" x14ac:dyDescent="0.25">
      <c r="A2" s="77" t="s">
        <v>3</v>
      </c>
      <c r="B2" t="s">
        <v>41</v>
      </c>
    </row>
    <row r="3" spans="1:4" x14ac:dyDescent="0.25">
      <c r="A3" s="77" t="s">
        <v>16</v>
      </c>
      <c r="B3" t="s">
        <v>41</v>
      </c>
    </row>
    <row r="5" spans="1:4" x14ac:dyDescent="0.25">
      <c r="A5" s="77" t="s">
        <v>36</v>
      </c>
      <c r="B5" t="s">
        <v>49</v>
      </c>
      <c r="C5" t="s">
        <v>39</v>
      </c>
      <c r="D5" t="s">
        <v>42</v>
      </c>
    </row>
    <row r="6" spans="1:4" x14ac:dyDescent="0.25">
      <c r="A6" s="78" t="s">
        <v>57</v>
      </c>
      <c r="B6">
        <v>6.3166666666666664</v>
      </c>
      <c r="C6">
        <v>81.8</v>
      </c>
      <c r="D6">
        <v>18</v>
      </c>
    </row>
    <row r="7" spans="1:4" x14ac:dyDescent="0.25">
      <c r="A7" s="78" t="s">
        <v>62</v>
      </c>
      <c r="B7">
        <v>5.38</v>
      </c>
      <c r="C7">
        <v>25.599999999999998</v>
      </c>
      <c r="D7">
        <v>30</v>
      </c>
    </row>
    <row r="8" spans="1:4" x14ac:dyDescent="0.25">
      <c r="A8" s="78" t="s">
        <v>58</v>
      </c>
      <c r="B8">
        <v>5.05</v>
      </c>
      <c r="C8">
        <v>47.3</v>
      </c>
      <c r="D8">
        <v>63</v>
      </c>
    </row>
    <row r="9" spans="1:4" x14ac:dyDescent="0.25">
      <c r="A9" s="78" t="s">
        <v>63</v>
      </c>
      <c r="B9">
        <v>5.75</v>
      </c>
      <c r="C9">
        <v>56.3</v>
      </c>
      <c r="D9">
        <v>62</v>
      </c>
    </row>
    <row r="10" spans="1:4" x14ac:dyDescent="0.25">
      <c r="A10" s="78" t="s">
        <v>61</v>
      </c>
      <c r="B10">
        <v>6.1833333333333327</v>
      </c>
      <c r="C10">
        <v>59</v>
      </c>
      <c r="D10">
        <v>60</v>
      </c>
    </row>
    <row r="11" spans="1:4" x14ac:dyDescent="0.25">
      <c r="A11" s="78" t="s">
        <v>59</v>
      </c>
      <c r="B11">
        <v>5.5333333333333341</v>
      </c>
      <c r="C11">
        <v>53.4</v>
      </c>
      <c r="D11">
        <v>55</v>
      </c>
    </row>
    <row r="12" spans="1:4" x14ac:dyDescent="0.25">
      <c r="A12" s="78" t="s">
        <v>64</v>
      </c>
      <c r="B12">
        <v>5.7833333333333323</v>
      </c>
      <c r="C12">
        <v>51.3</v>
      </c>
      <c r="D12">
        <v>61</v>
      </c>
    </row>
    <row r="13" spans="1:4" x14ac:dyDescent="0.25">
      <c r="A13" s="78" t="s">
        <v>60</v>
      </c>
      <c r="B13">
        <v>5.9499999999999993</v>
      </c>
      <c r="C13">
        <v>55.900000000000006</v>
      </c>
      <c r="D13">
        <v>64</v>
      </c>
    </row>
    <row r="14" spans="1:4" x14ac:dyDescent="0.25">
      <c r="A14" s="78" t="s">
        <v>66</v>
      </c>
      <c r="B14">
        <v>5.833333333333333</v>
      </c>
      <c r="C14">
        <v>50.7</v>
      </c>
      <c r="D14">
        <v>66</v>
      </c>
    </row>
    <row r="15" spans="1:4" x14ac:dyDescent="0.25">
      <c r="A15" s="78" t="s">
        <v>56</v>
      </c>
      <c r="B15">
        <v>5.7</v>
      </c>
      <c r="C15">
        <v>47.8</v>
      </c>
      <c r="D15">
        <v>74</v>
      </c>
    </row>
    <row r="16" spans="1:4" x14ac:dyDescent="0.25">
      <c r="A16" s="78" t="s">
        <v>65</v>
      </c>
      <c r="B16">
        <v>6.1000000000000005</v>
      </c>
      <c r="C16">
        <v>63.8</v>
      </c>
      <c r="D16">
        <v>76</v>
      </c>
    </row>
    <row r="17" spans="1:4" x14ac:dyDescent="0.25">
      <c r="A17" s="78" t="s">
        <v>67</v>
      </c>
      <c r="B17">
        <v>5.6333333333333329</v>
      </c>
      <c r="C17">
        <v>55.400000000000006</v>
      </c>
      <c r="D17">
        <v>66</v>
      </c>
    </row>
    <row r="18" spans="1:4" x14ac:dyDescent="0.25">
      <c r="A18" s="78" t="s">
        <v>38</v>
      </c>
      <c r="B18" s="2">
        <v>5.7732394366197193</v>
      </c>
      <c r="C18" s="2">
        <v>648.29999999999984</v>
      </c>
      <c r="D18" s="2">
        <v>695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0A71-C959-479B-9155-CBF353B7BEA6}">
  <dimension ref="A1"/>
  <sheetViews>
    <sheetView showGridLines="0" zoomScale="20" zoomScaleNormal="20" workbookViewId="0">
      <selection activeCell="BO56" sqref="BO56"/>
    </sheetView>
  </sheetViews>
  <sheetFormatPr defaultRowHeight="15" x14ac:dyDescent="0.25"/>
  <sheetData/>
  <pageMargins left="0.7" right="0.7" top="0.75" bottom="0.75" header="0.3" footer="0.3"/>
  <pageSetup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A8B9-6471-4A06-980D-E94A68781C99}">
  <dimension ref="A1:D17"/>
  <sheetViews>
    <sheetView workbookViewId="0">
      <selection activeCell="D25" sqref="D25"/>
    </sheetView>
  </sheetViews>
  <sheetFormatPr defaultRowHeight="15" x14ac:dyDescent="0.25"/>
  <cols>
    <col min="1" max="1" width="14.42578125" bestFit="1" customWidth="1"/>
    <col min="2" max="2" width="25.140625" bestFit="1" customWidth="1"/>
    <col min="3" max="3" width="24.5703125" bestFit="1" customWidth="1"/>
    <col min="4" max="4" width="27.140625" bestFit="1" customWidth="1"/>
    <col min="5" max="5" width="5.5703125" bestFit="1" customWidth="1"/>
    <col min="6" max="6" width="5" bestFit="1" customWidth="1"/>
    <col min="7" max="7" width="4.5703125" bestFit="1" customWidth="1"/>
    <col min="8" max="8" width="5" bestFit="1" customWidth="1"/>
    <col min="9" max="9" width="5.5703125" bestFit="1" customWidth="1"/>
    <col min="10" max="10" width="5" bestFit="1" customWidth="1"/>
    <col min="11" max="11" width="5.5703125" bestFit="1" customWidth="1"/>
    <col min="12" max="12" width="5" bestFit="1" customWidth="1"/>
    <col min="13" max="15" width="4.5703125" bestFit="1" customWidth="1"/>
    <col min="16" max="16" width="24.5703125" bestFit="1" customWidth="1"/>
    <col min="17" max="17" width="5" bestFit="1" customWidth="1"/>
    <col min="18" max="18" width="4.5703125" bestFit="1" customWidth="1"/>
    <col min="19" max="19" width="6" bestFit="1" customWidth="1"/>
    <col min="20" max="22" width="4.5703125" bestFit="1" customWidth="1"/>
    <col min="23" max="25" width="6" bestFit="1" customWidth="1"/>
    <col min="26" max="26" width="12" bestFit="1" customWidth="1"/>
    <col min="27" max="29" width="4.5703125" bestFit="1" customWidth="1"/>
    <col min="30" max="30" width="26.7109375" bestFit="1" customWidth="1"/>
    <col min="31" max="31" width="29.7109375" bestFit="1" customWidth="1"/>
  </cols>
  <sheetData>
    <row r="1" spans="1:4" x14ac:dyDescent="0.25">
      <c r="A1" s="77" t="s">
        <v>3</v>
      </c>
      <c r="B1" t="s">
        <v>41</v>
      </c>
    </row>
    <row r="2" spans="1:4" x14ac:dyDescent="0.25">
      <c r="A2" s="77" t="s">
        <v>16</v>
      </c>
      <c r="B2" t="s">
        <v>41</v>
      </c>
    </row>
    <row r="4" spans="1:4" x14ac:dyDescent="0.25">
      <c r="A4" s="77" t="s">
        <v>36</v>
      </c>
      <c r="B4" t="s">
        <v>51</v>
      </c>
      <c r="C4" t="s">
        <v>52</v>
      </c>
      <c r="D4" t="s">
        <v>50</v>
      </c>
    </row>
    <row r="5" spans="1:4" x14ac:dyDescent="0.25">
      <c r="A5" s="78" t="s">
        <v>57</v>
      </c>
      <c r="B5" s="94">
        <v>9.283333333333335</v>
      </c>
      <c r="C5" s="94">
        <v>1.5833333333333333</v>
      </c>
      <c r="D5" s="94">
        <v>6.3833333333333329</v>
      </c>
    </row>
    <row r="6" spans="1:4" x14ac:dyDescent="0.25">
      <c r="A6" s="78" t="s">
        <v>62</v>
      </c>
      <c r="B6" s="94">
        <v>9.3000000000000007</v>
      </c>
      <c r="C6" s="94">
        <v>1.2</v>
      </c>
      <c r="D6" s="94">
        <v>6.22</v>
      </c>
    </row>
    <row r="7" spans="1:4" x14ac:dyDescent="0.25">
      <c r="A7" s="78" t="s">
        <v>58</v>
      </c>
      <c r="B7" s="94">
        <v>9.35</v>
      </c>
      <c r="C7" s="94">
        <v>3.0833333333333335</v>
      </c>
      <c r="D7" s="94">
        <v>6.2333333333333334</v>
      </c>
    </row>
    <row r="8" spans="1:4" x14ac:dyDescent="0.25">
      <c r="A8" s="78" t="s">
        <v>63</v>
      </c>
      <c r="B8" s="94">
        <v>9.2666666666666657</v>
      </c>
      <c r="C8" s="94">
        <v>1.45</v>
      </c>
      <c r="D8" s="94">
        <v>6.5166666666666666</v>
      </c>
    </row>
    <row r="9" spans="1:4" x14ac:dyDescent="0.25">
      <c r="A9" s="78" t="s">
        <v>61</v>
      </c>
      <c r="B9" s="94">
        <v>9.25</v>
      </c>
      <c r="C9" s="94">
        <v>2.7500000000000004</v>
      </c>
      <c r="D9" s="94">
        <v>6.75</v>
      </c>
    </row>
    <row r="10" spans="1:4" x14ac:dyDescent="0.25">
      <c r="A10" s="78" t="s">
        <v>59</v>
      </c>
      <c r="B10" s="94">
        <v>9.3833333333333329</v>
      </c>
      <c r="C10" s="94">
        <v>1.8500000000000003</v>
      </c>
      <c r="D10" s="94">
        <v>6.4000000000000012</v>
      </c>
    </row>
    <row r="11" spans="1:4" x14ac:dyDescent="0.25">
      <c r="A11" s="78" t="s">
        <v>64</v>
      </c>
      <c r="B11" s="94">
        <v>9.3000000000000007</v>
      </c>
      <c r="C11" s="94">
        <v>2.5499999999999998</v>
      </c>
      <c r="D11" s="94">
        <v>6.4666666666666659</v>
      </c>
    </row>
    <row r="12" spans="1:4" x14ac:dyDescent="0.25">
      <c r="A12" s="78" t="s">
        <v>60</v>
      </c>
      <c r="B12" s="94">
        <v>9.2833333333333332</v>
      </c>
      <c r="C12" s="94">
        <v>2.8000000000000003</v>
      </c>
      <c r="D12" s="94">
        <v>6.6999999999999993</v>
      </c>
    </row>
    <row r="13" spans="1:4" x14ac:dyDescent="0.25">
      <c r="A13" s="78" t="s">
        <v>66</v>
      </c>
      <c r="B13" s="94">
        <v>9.2333333333333343</v>
      </c>
      <c r="C13" s="94">
        <v>1.8333333333333333</v>
      </c>
      <c r="D13" s="94">
        <v>6.8833333333333329</v>
      </c>
    </row>
    <row r="14" spans="1:4" x14ac:dyDescent="0.25">
      <c r="A14" s="78" t="s">
        <v>56</v>
      </c>
      <c r="B14" s="94">
        <v>9.3166666666666682</v>
      </c>
      <c r="C14" s="94">
        <v>2.6333333333333333</v>
      </c>
      <c r="D14" s="94">
        <v>6.45</v>
      </c>
    </row>
    <row r="15" spans="1:4" x14ac:dyDescent="0.25">
      <c r="A15" s="78" t="s">
        <v>65</v>
      </c>
      <c r="B15" s="94">
        <v>9.3166666666666664</v>
      </c>
      <c r="C15" s="94">
        <v>1.6666666666666667</v>
      </c>
      <c r="D15" s="94">
        <v>6.7666666666666666</v>
      </c>
    </row>
    <row r="16" spans="1:4" x14ac:dyDescent="0.25">
      <c r="A16" s="78" t="s">
        <v>67</v>
      </c>
      <c r="B16" s="94">
        <v>9.3333333333333339</v>
      </c>
      <c r="C16" s="94">
        <v>1.4500000000000002</v>
      </c>
      <c r="D16" s="94">
        <v>6.5</v>
      </c>
    </row>
    <row r="17" spans="1:4" x14ac:dyDescent="0.25">
      <c r="A17" s="78" t="s">
        <v>38</v>
      </c>
      <c r="B17">
        <v>9.3014084507042263</v>
      </c>
      <c r="C17">
        <v>2.0830985915492954</v>
      </c>
      <c r="D17">
        <v>6.5267605633802823</v>
      </c>
    </row>
  </sheetData>
  <sheetProtection sheet="1" formatCells="0" formatColumns="0" formatRows="0" insertColumns="0" insertRow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5EBC-46EB-4AFA-991E-C3BB50F49599}">
  <dimension ref="A1:D17"/>
  <sheetViews>
    <sheetView workbookViewId="0">
      <selection activeCell="C24" sqref="C24"/>
    </sheetView>
  </sheetViews>
  <sheetFormatPr defaultRowHeight="15" x14ac:dyDescent="0.25"/>
  <cols>
    <col min="1" max="1" width="14.42578125" bestFit="1" customWidth="1"/>
    <col min="2" max="2" width="24.7109375" bestFit="1" customWidth="1"/>
    <col min="3" max="3" width="27.140625" bestFit="1" customWidth="1"/>
    <col min="4" max="4" width="23.42578125" bestFit="1" customWidth="1"/>
    <col min="5" max="6" width="19.5703125" bestFit="1" customWidth="1"/>
  </cols>
  <sheetData>
    <row r="1" spans="1:4" x14ac:dyDescent="0.25">
      <c r="A1" s="77" t="s">
        <v>3</v>
      </c>
      <c r="B1" t="s">
        <v>41</v>
      </c>
    </row>
    <row r="2" spans="1:4" x14ac:dyDescent="0.25">
      <c r="A2" s="77" t="s">
        <v>16</v>
      </c>
      <c r="B2" t="s">
        <v>41</v>
      </c>
    </row>
    <row r="4" spans="1:4" x14ac:dyDescent="0.25">
      <c r="A4" s="77" t="s">
        <v>36</v>
      </c>
      <c r="B4" t="s">
        <v>47</v>
      </c>
      <c r="C4" t="s">
        <v>48</v>
      </c>
      <c r="D4" t="s">
        <v>37</v>
      </c>
    </row>
    <row r="5" spans="1:4" x14ac:dyDescent="0.25">
      <c r="A5" s="78" t="s">
        <v>57</v>
      </c>
      <c r="B5" s="2">
        <v>9.0500000000000007</v>
      </c>
      <c r="C5" s="2">
        <v>3.7999999999999994</v>
      </c>
      <c r="D5" s="2">
        <v>67</v>
      </c>
    </row>
    <row r="6" spans="1:4" x14ac:dyDescent="0.25">
      <c r="A6" s="78" t="s">
        <v>62</v>
      </c>
      <c r="B6" s="2">
        <v>9.3000000000000007</v>
      </c>
      <c r="C6" s="2">
        <v>3.7</v>
      </c>
      <c r="D6" s="2">
        <v>57</v>
      </c>
    </row>
    <row r="7" spans="1:4" x14ac:dyDescent="0.25">
      <c r="A7" s="78" t="s">
        <v>58</v>
      </c>
      <c r="B7" s="2">
        <v>9.3166666666666682</v>
      </c>
      <c r="C7" s="2">
        <v>3.75</v>
      </c>
      <c r="D7" s="2">
        <v>69.2</v>
      </c>
    </row>
    <row r="8" spans="1:4" x14ac:dyDescent="0.25">
      <c r="A8" s="78" t="s">
        <v>63</v>
      </c>
      <c r="B8" s="2">
        <v>9.25</v>
      </c>
      <c r="C8" s="2">
        <v>3.9166666666666665</v>
      </c>
      <c r="D8" s="2">
        <v>69.599999999999994</v>
      </c>
    </row>
    <row r="9" spans="1:4" x14ac:dyDescent="0.25">
      <c r="A9" s="78" t="s">
        <v>61</v>
      </c>
      <c r="B9" s="2">
        <v>9.25</v>
      </c>
      <c r="C9" s="2">
        <v>3.9166666666666665</v>
      </c>
      <c r="D9" s="2">
        <v>69.800000000000011</v>
      </c>
    </row>
    <row r="10" spans="1:4" x14ac:dyDescent="0.25">
      <c r="A10" s="78" t="s">
        <v>59</v>
      </c>
      <c r="B10" s="2">
        <v>9.4333333333333318</v>
      </c>
      <c r="C10" s="2">
        <v>3.8333333333333335</v>
      </c>
      <c r="D10" s="2">
        <v>70.8</v>
      </c>
    </row>
    <row r="11" spans="1:4" x14ac:dyDescent="0.25">
      <c r="A11" s="78" t="s">
        <v>64</v>
      </c>
      <c r="B11" s="2">
        <v>9.3000000000000007</v>
      </c>
      <c r="C11" s="2">
        <v>3.8833333333333329</v>
      </c>
      <c r="D11" s="2">
        <v>70.999999999999986</v>
      </c>
    </row>
    <row r="12" spans="1:4" x14ac:dyDescent="0.25">
      <c r="A12" s="78" t="s">
        <v>60</v>
      </c>
      <c r="B12" s="2">
        <v>9.2833333333333332</v>
      </c>
      <c r="C12" s="2">
        <v>3.9166666666666661</v>
      </c>
      <c r="D12" s="2">
        <v>71.8</v>
      </c>
    </row>
    <row r="13" spans="1:4" x14ac:dyDescent="0.25">
      <c r="A13" s="78" t="s">
        <v>66</v>
      </c>
      <c r="B13" s="2">
        <v>9.2333333333333343</v>
      </c>
      <c r="C13" s="2">
        <v>4</v>
      </c>
      <c r="D13" s="2">
        <v>72</v>
      </c>
    </row>
    <row r="14" spans="1:4" x14ac:dyDescent="0.25">
      <c r="A14" s="78" t="s">
        <v>56</v>
      </c>
      <c r="B14" s="2">
        <v>9.3166666666666682</v>
      </c>
      <c r="C14" s="2">
        <v>3.8833333333333333</v>
      </c>
      <c r="D14" s="2">
        <v>72.8</v>
      </c>
    </row>
    <row r="15" spans="1:4" x14ac:dyDescent="0.25">
      <c r="A15" s="78" t="s">
        <v>65</v>
      </c>
      <c r="B15" s="2">
        <v>9.3166666666666664</v>
      </c>
      <c r="C15" s="2">
        <v>3.9333333333333331</v>
      </c>
      <c r="D15" s="2">
        <v>73</v>
      </c>
    </row>
    <row r="16" spans="1:4" x14ac:dyDescent="0.25">
      <c r="A16" s="78" t="s">
        <v>67</v>
      </c>
      <c r="B16" s="2">
        <v>9.3333333333333339</v>
      </c>
      <c r="C16" s="2">
        <v>3.8666666666666667</v>
      </c>
      <c r="D16" s="2">
        <v>73.8</v>
      </c>
    </row>
    <row r="17" spans="1:4" x14ac:dyDescent="0.25">
      <c r="A17" s="78" t="s">
        <v>38</v>
      </c>
      <c r="B17" s="2">
        <v>9.2816901408450718</v>
      </c>
      <c r="C17" s="2">
        <v>3.8690140845070404</v>
      </c>
      <c r="D17" s="2">
        <v>837.79999999999961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133D2-6CFE-4216-9F95-1FE0DBBACD42}">
  <dimension ref="A3:N4"/>
  <sheetViews>
    <sheetView showGridLines="0" topLeftCell="G1" workbookViewId="0">
      <selection activeCell="H4" sqref="H4"/>
    </sheetView>
  </sheetViews>
  <sheetFormatPr defaultRowHeight="15" x14ac:dyDescent="0.25"/>
  <cols>
    <col min="1" max="1" width="30.85546875" bestFit="1" customWidth="1"/>
    <col min="2" max="2" width="31.140625" bestFit="1" customWidth="1"/>
    <col min="3" max="3" width="30.28515625" bestFit="1" customWidth="1"/>
    <col min="4" max="4" width="31.7109375" bestFit="1" customWidth="1"/>
    <col min="5" max="5" width="24.7109375" bestFit="1" customWidth="1"/>
    <col min="6" max="6" width="27.140625" bestFit="1" customWidth="1"/>
    <col min="7" max="7" width="24.85546875" bestFit="1" customWidth="1"/>
    <col min="8" max="8" width="19.28515625" bestFit="1" customWidth="1"/>
    <col min="9" max="9" width="24.5703125" bestFit="1" customWidth="1"/>
    <col min="10" max="10" width="25.140625" bestFit="1" customWidth="1"/>
    <col min="11" max="11" width="19.140625" bestFit="1" customWidth="1"/>
    <col min="12" max="12" width="18" bestFit="1" customWidth="1"/>
    <col min="13" max="13" width="16.85546875" bestFit="1" customWidth="1"/>
    <col min="14" max="14" width="27.140625" bestFit="1" customWidth="1"/>
  </cols>
  <sheetData>
    <row r="3" spans="1:14" x14ac:dyDescent="0.25">
      <c r="A3" t="s">
        <v>77</v>
      </c>
      <c r="B3" t="s">
        <v>78</v>
      </c>
      <c r="C3" t="s">
        <v>79</v>
      </c>
      <c r="D3" t="s">
        <v>81</v>
      </c>
      <c r="E3" t="s">
        <v>47</v>
      </c>
      <c r="F3" t="s">
        <v>48</v>
      </c>
      <c r="G3" t="s">
        <v>49</v>
      </c>
      <c r="H3" t="s">
        <v>82</v>
      </c>
      <c r="I3" t="s">
        <v>52</v>
      </c>
      <c r="J3" t="s">
        <v>51</v>
      </c>
      <c r="K3" t="s">
        <v>83</v>
      </c>
      <c r="L3" t="s">
        <v>76</v>
      </c>
      <c r="M3" t="s">
        <v>80</v>
      </c>
      <c r="N3" t="s">
        <v>50</v>
      </c>
    </row>
    <row r="4" spans="1:14" x14ac:dyDescent="0.25">
      <c r="A4">
        <v>11.799999999999995</v>
      </c>
      <c r="B4">
        <v>9.1309859154929551</v>
      </c>
      <c r="C4">
        <v>9.7887323943661979</v>
      </c>
      <c r="D4">
        <v>3.4154929577464785</v>
      </c>
      <c r="E4">
        <v>9.2816901408450718</v>
      </c>
      <c r="F4">
        <v>3.8690140845070404</v>
      </c>
      <c r="G4">
        <v>5.7732394366197193</v>
      </c>
      <c r="H4">
        <v>9.4605633802816929</v>
      </c>
      <c r="I4">
        <v>2.0830985915492954</v>
      </c>
      <c r="J4">
        <v>9.3014084507042263</v>
      </c>
      <c r="K4">
        <v>3.2830985915492956</v>
      </c>
      <c r="L4">
        <v>4.0169014084507051</v>
      </c>
      <c r="M4">
        <v>13.195774647887317</v>
      </c>
      <c r="N4">
        <v>6.5267605633802823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56D46-6838-4F36-8BC7-D4F9AB2EAF84}">
  <dimension ref="A3:B5"/>
  <sheetViews>
    <sheetView topLeftCell="A7" workbookViewId="0">
      <selection activeCell="T64" sqref="T64"/>
    </sheetView>
  </sheetViews>
  <sheetFormatPr defaultRowHeight="15" x14ac:dyDescent="0.25"/>
  <cols>
    <col min="1" max="1" width="20.42578125" bestFit="1" customWidth="1"/>
    <col min="2" max="2" width="18.5703125" bestFit="1" customWidth="1"/>
    <col min="3" max="12" width="2" bestFit="1" customWidth="1"/>
    <col min="13" max="15" width="3" bestFit="1" customWidth="1"/>
    <col min="16" max="16" width="4" bestFit="1" customWidth="1"/>
    <col min="17" max="17" width="11.28515625" bestFit="1" customWidth="1"/>
  </cols>
  <sheetData>
    <row r="3" spans="1:2" x14ac:dyDescent="0.25">
      <c r="A3" s="77" t="s">
        <v>36</v>
      </c>
      <c r="B3" t="s">
        <v>84</v>
      </c>
    </row>
    <row r="4" spans="1:2" x14ac:dyDescent="0.25">
      <c r="A4" s="78" t="s">
        <v>24</v>
      </c>
      <c r="B4" s="94">
        <v>11.799999999999995</v>
      </c>
    </row>
    <row r="5" spans="1:2" x14ac:dyDescent="0.25">
      <c r="A5" s="78" t="s">
        <v>38</v>
      </c>
      <c r="B5" s="109">
        <v>11.799999999999995</v>
      </c>
    </row>
  </sheetData>
  <sheetProtection algorithmName="SHA-512" hashValue="c3QrV9BGpUTRn/75CbcAcSuIi8fepgmcKTcSzbCgTDOgtp0saDwRtuaYSkkQx4oB7hdV9tfyOKHtpKTNiH2t8g==" saltValue="fW8Q0oe/VJPVbami3TsClQ==" spinCount="100000" sheet="1" formatCells="0" formatColumns="0" formatRows="0" insertColumns="0" insertRows="0" insertHyperlinks="0" deleteColumns="0" deleteRows="0" sort="0"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DFFE-C710-439A-ADD9-3F4ABA47B9E6}">
  <dimension ref="A1:M21"/>
  <sheetViews>
    <sheetView topLeftCell="A7" workbookViewId="0">
      <selection activeCell="L6" sqref="L6"/>
    </sheetView>
  </sheetViews>
  <sheetFormatPr defaultRowHeight="15" x14ac:dyDescent="0.25"/>
  <cols>
    <col min="1" max="1" width="32.28515625" customWidth="1"/>
    <col min="2" max="3" width="6.7109375" bestFit="1" customWidth="1"/>
    <col min="4" max="4" width="11.5703125" bestFit="1" customWidth="1"/>
    <col min="6" max="6" width="22.5703125" customWidth="1"/>
    <col min="7" max="7" width="24.85546875" customWidth="1"/>
    <col min="12" max="12" width="29.7109375" bestFit="1" customWidth="1"/>
    <col min="13" max="13" width="13.42578125" customWidth="1"/>
  </cols>
  <sheetData>
    <row r="1" spans="1:13" ht="27" thickBot="1" x14ac:dyDescent="0.3">
      <c r="A1" s="24" t="s">
        <v>17</v>
      </c>
      <c r="B1" s="22"/>
      <c r="C1" s="22"/>
      <c r="D1" s="22"/>
      <c r="E1" s="22"/>
      <c r="F1" s="23"/>
      <c r="G1" s="107" t="s">
        <v>35</v>
      </c>
    </row>
    <row r="2" spans="1:13" ht="52.5" customHeight="1" thickBot="1" x14ac:dyDescent="0.3">
      <c r="A2" s="38" t="s">
        <v>18</v>
      </c>
      <c r="B2" s="25" t="s">
        <v>55</v>
      </c>
      <c r="C2" s="25" t="s">
        <v>54</v>
      </c>
      <c r="D2" s="27" t="s">
        <v>19</v>
      </c>
      <c r="E2" s="28" t="s">
        <v>53</v>
      </c>
      <c r="F2" s="29" t="s">
        <v>22</v>
      </c>
      <c r="G2" s="108"/>
    </row>
    <row r="3" spans="1:13" ht="27" thickBot="1" x14ac:dyDescent="0.3">
      <c r="A3" s="39" t="s">
        <v>23</v>
      </c>
      <c r="B3" s="32">
        <f>MIN('Chemical data for power plant'!$B$2:$B$72)</f>
        <v>465</v>
      </c>
      <c r="C3" s="31">
        <f>MAX('Chemical data for power plant'!$B$2:$B$72)</f>
        <v>537</v>
      </c>
      <c r="D3" s="30">
        <f>AVERAGE('Chemical data for power plant'!$B$2:$B$72)</f>
        <v>499.98591549295776</v>
      </c>
      <c r="E3" s="47"/>
      <c r="F3" s="48"/>
      <c r="G3" s="50"/>
    </row>
    <row r="4" spans="1:13" ht="21" x14ac:dyDescent="0.25">
      <c r="A4" s="40" t="s">
        <v>24</v>
      </c>
      <c r="B4" s="31">
        <f>MIN('Chemical data for power plant'!$D$2:$D$72)</f>
        <v>9</v>
      </c>
      <c r="C4" s="31">
        <f>MAX('Chemical data for power plant'!$D$2:$D$72)</f>
        <v>14</v>
      </c>
      <c r="D4" s="42">
        <f>AVERAGE('Chemical data for power plant'!$D$2:$D$72)</f>
        <v>11.799999999999995</v>
      </c>
      <c r="E4" s="49">
        <f>SUM('Chemical data for power plant'!D2:D72)</f>
        <v>837.79999999999961</v>
      </c>
      <c r="F4" s="43">
        <f>_xlfn.STDEV.P('Chemical data for power plant'!$D$2:$D$72)</f>
        <v>1.7433172200083391</v>
      </c>
      <c r="G4" s="51">
        <f>CORREL('Chemical data for power plant'!$B:$B,'Chemical data for power plant'!$D:$D)</f>
        <v>-0.11990093519570155</v>
      </c>
    </row>
    <row r="5" spans="1:13" ht="21" x14ac:dyDescent="0.25">
      <c r="A5" s="40" t="s">
        <v>25</v>
      </c>
      <c r="B5" s="31">
        <f>MIN('Chemical data for power plant'!$E$2:$E$72)</f>
        <v>1.5</v>
      </c>
      <c r="C5" s="31">
        <f>MAX('Chemical data for power plant'!$E$2:$E$72)</f>
        <v>15</v>
      </c>
      <c r="D5" s="42">
        <f>AVERAGE('Chemical data for power plant'!$E$2:$E$72)</f>
        <v>9.1309859154929551</v>
      </c>
      <c r="E5" s="31">
        <f>SUM('Chemical data for power plant'!E2:E72)</f>
        <v>648.29999999999984</v>
      </c>
      <c r="F5" s="43">
        <f>_xlfn.STDEV.P('Chemical data for power plant'!$E$2:$E$72)</f>
        <v>3.4928736927642365</v>
      </c>
      <c r="G5" s="45">
        <f>CORREL('Chemical data for power plant'!$B:$B,'Chemical data for power plant'!$E:$E)</f>
        <v>3.9723609284946997E-2</v>
      </c>
    </row>
    <row r="6" spans="1:13" ht="21.75" thickBot="1" x14ac:dyDescent="0.3">
      <c r="A6" s="40" t="s">
        <v>29</v>
      </c>
      <c r="B6" s="31">
        <f>MIN('Chemical data for power plant'!$F$2:$F$72)</f>
        <v>0</v>
      </c>
      <c r="C6" s="31">
        <f>MAX('Chemical data for power plant'!$F$2:$F$72)</f>
        <v>17</v>
      </c>
      <c r="D6" s="42">
        <f>AVERAGE('Chemical data for power plant'!$F$2:$F$72)</f>
        <v>9.7887323943661979</v>
      </c>
      <c r="E6" s="31">
        <f>SUM('Chemical data for power plant'!F2:F72)</f>
        <v>695</v>
      </c>
      <c r="F6" s="42">
        <f>_xlfn.STDEV.P('Chemical data for power plant'!$F$2:$F$72)</f>
        <v>3.7675990522517218</v>
      </c>
      <c r="G6" s="45">
        <f>CORREL('Chemical data for power plant'!$B:$B,'Chemical data for power plant'!$F:$F)</f>
        <v>0.2690688312714602</v>
      </c>
      <c r="L6" s="99" t="s">
        <v>18</v>
      </c>
      <c r="M6" s="100" t="s">
        <v>19</v>
      </c>
    </row>
    <row r="7" spans="1:13" ht="21.75" thickBot="1" x14ac:dyDescent="0.3">
      <c r="A7" s="40" t="s">
        <v>26</v>
      </c>
      <c r="B7" s="31">
        <f>MIN('Chemical data for power plant'!$G$2:$G$72)</f>
        <v>2.5</v>
      </c>
      <c r="C7" s="31">
        <f>MAX('Chemical data for power plant'!$G$2:$G$72)</f>
        <v>4.3</v>
      </c>
      <c r="D7" s="42">
        <f>AVERAGE('Chemical data for power plant'!$G$2:$G$72)</f>
        <v>3.4154929577464785</v>
      </c>
      <c r="E7" s="34">
        <f>SUM('Chemical data for power plant'!G2:G72)</f>
        <v>242.49999999999997</v>
      </c>
      <c r="F7" s="42">
        <f>_xlfn.STDEV.P('Chemical data for power plant'!$G$2:$G$72)</f>
        <v>0.5239739503588301</v>
      </c>
      <c r="G7" s="45">
        <f>CORREL('Chemical data for power plant'!$B:$B,'Chemical data for power plant'!$G:$G)</f>
        <v>-7.6077660677988768E-2</v>
      </c>
      <c r="L7" s="97" t="s">
        <v>23</v>
      </c>
      <c r="M7" s="30">
        <v>499.98591549295776</v>
      </c>
    </row>
    <row r="8" spans="1:13" ht="21" x14ac:dyDescent="0.35">
      <c r="A8" s="40" t="s">
        <v>6</v>
      </c>
      <c r="B8" s="31">
        <f>MIN('Chemical data for power plant'!$H$2:$H$72)</f>
        <v>8.1</v>
      </c>
      <c r="C8" s="31">
        <f>MAX('Chemical data for power plant'!$H$2:$H$72)</f>
        <v>9.6999999999999993</v>
      </c>
      <c r="D8" s="33">
        <f>AVERAGE('Chemical data for power plant'!$H$2:$H$72)</f>
        <v>9.2816901408450718</v>
      </c>
      <c r="E8" s="35"/>
      <c r="F8" s="42">
        <f>_xlfn.STDEV.P('Chemical data for power plant'!$H$2:$H$72)</f>
        <v>0.25636124333817639</v>
      </c>
      <c r="G8" s="45">
        <f>CORREL('Chemical data for power plant'!$B:$B,'Chemical data for power plant'!$H:$H)</f>
        <v>-0.19653408126540539</v>
      </c>
      <c r="L8" s="98" t="s">
        <v>24</v>
      </c>
      <c r="M8" s="42">
        <v>11.799999999999995</v>
      </c>
    </row>
    <row r="9" spans="1:13" ht="21" x14ac:dyDescent="0.35">
      <c r="A9" s="40" t="s">
        <v>7</v>
      </c>
      <c r="B9" s="31">
        <f>MIN('Chemical data for power plant'!$I$2:$I$72)</f>
        <v>3.3</v>
      </c>
      <c r="C9" s="31">
        <f>MAX('Chemical data for power plant'!$I$2:$I$72)</f>
        <v>4.7</v>
      </c>
      <c r="D9" s="33">
        <f>AVERAGE('Chemical data for power plant'!$I$2:$I$72)</f>
        <v>3.8690140845070404</v>
      </c>
      <c r="E9" s="35"/>
      <c r="F9" s="42">
        <f>_xlfn.STDEV.P('Chemical data for power plant'!$I$2:$I$72)</f>
        <v>0.34502155445865007</v>
      </c>
      <c r="G9" s="45">
        <f>CORREL('Chemical data for power plant'!$B:$B,'Chemical data for power plant'!$I:$I)</f>
        <v>0.29653217456486697</v>
      </c>
      <c r="L9" s="98" t="s">
        <v>25</v>
      </c>
      <c r="M9" s="42">
        <v>9.1309859154929551</v>
      </c>
    </row>
    <row r="10" spans="1:13" ht="21" x14ac:dyDescent="0.35">
      <c r="A10" s="40" t="s">
        <v>8</v>
      </c>
      <c r="B10" s="31">
        <f>MIN('Chemical data for power plant'!$J$2:$J$72)</f>
        <v>3.5</v>
      </c>
      <c r="C10" s="31">
        <f>MAX('Chemical data for power plant'!$J$2:$J$72)</f>
        <v>9.8000000000000007</v>
      </c>
      <c r="D10" s="33">
        <f>AVERAGE('Chemical data for power plant'!$J$2:$J$72)</f>
        <v>5.7732394366197193</v>
      </c>
      <c r="E10" s="35"/>
      <c r="F10" s="42">
        <f>_xlfn.STDEV.P('Chemical data for power plant'!$J$2:$J$72)</f>
        <v>1.6093877539828905</v>
      </c>
      <c r="G10" s="45">
        <f>CORREL('Chemical data for power plant'!$B:$B,'Chemical data for power plant'!$J:$J)</f>
        <v>0.29045014140645342</v>
      </c>
      <c r="L10" s="98" t="s">
        <v>29</v>
      </c>
      <c r="M10" s="42">
        <v>9.7887323943661979</v>
      </c>
    </row>
    <row r="11" spans="1:13" ht="21" x14ac:dyDescent="0.35">
      <c r="A11" s="40" t="s">
        <v>30</v>
      </c>
      <c r="B11" s="31">
        <f>MIN('Chemical data for power plant'!$K$2:$K$72)</f>
        <v>8</v>
      </c>
      <c r="C11" s="31">
        <f>MAX('Chemical data for power plant'!$K$2:$K$72)</f>
        <v>9.9</v>
      </c>
      <c r="D11" s="33">
        <f>AVERAGE('Chemical data for power plant'!$K$2:$K$72)</f>
        <v>9.4605633802816929</v>
      </c>
      <c r="E11" s="35"/>
      <c r="F11" s="42">
        <f>_xlfn.STDEV.P('Chemical data for power plant'!$K$2:$K$72)</f>
        <v>0.26509571656419934</v>
      </c>
      <c r="G11" s="45">
        <f>CORREL('Chemical data for power plant'!$B:$B,'Chemical data for power plant'!$K:$K)</f>
        <v>-0.32808404372557737</v>
      </c>
      <c r="L11" s="98" t="s">
        <v>26</v>
      </c>
      <c r="M11" s="42">
        <v>3.4154929577464785</v>
      </c>
    </row>
    <row r="12" spans="1:13" ht="21" x14ac:dyDescent="0.35">
      <c r="A12" s="40" t="s">
        <v>31</v>
      </c>
      <c r="B12" s="31">
        <f>MIN('Chemical data for power plant'!$L$2:$L$72)</f>
        <v>6.7</v>
      </c>
      <c r="C12" s="31">
        <f>MAX('Chemical data for power plant'!$L$2:$L$72)</f>
        <v>16.8</v>
      </c>
      <c r="D12" s="33">
        <f>AVERAGE('Chemical data for power plant'!$L$2:$L$72)</f>
        <v>13.195774647887317</v>
      </c>
      <c r="E12" s="35"/>
      <c r="F12" s="42">
        <f>_xlfn.STDEV.P('Chemical data for power plant'!$L$2:$L$72)</f>
        <v>1.6600048039739725</v>
      </c>
      <c r="G12" s="45">
        <f>CORREL('Chemical data for power plant'!$B:$B,'Chemical data for power plant'!$L:$L)</f>
        <v>0.33380693513671067</v>
      </c>
      <c r="L12" s="98" t="s">
        <v>6</v>
      </c>
      <c r="M12" s="33">
        <v>9.2816901408450718</v>
      </c>
    </row>
    <row r="13" spans="1:13" ht="21" x14ac:dyDescent="0.35">
      <c r="A13" s="40" t="s">
        <v>32</v>
      </c>
      <c r="B13" s="31">
        <f>MIN('Chemical data for power plant'!$M$2:$M$72)</f>
        <v>2.7</v>
      </c>
      <c r="C13" s="31">
        <f>MAX('Chemical data for power plant'!$M$2:$M$72)</f>
        <v>6</v>
      </c>
      <c r="D13" s="33">
        <f>AVERAGE('Chemical data for power plant'!$M$2:$M$72)</f>
        <v>4.0169014084507051</v>
      </c>
      <c r="E13" s="35"/>
      <c r="F13" s="42">
        <f>_xlfn.STDEV.P('Chemical data for power plant'!$M$2:$M$72)</f>
        <v>0.88984662636249612</v>
      </c>
      <c r="G13" s="45">
        <f>CORREL('Chemical data for power plant'!$B:$B,'Chemical data for power plant'!$M:$M)</f>
        <v>0.29226298161019482</v>
      </c>
      <c r="L13" s="98" t="s">
        <v>7</v>
      </c>
      <c r="M13" s="33">
        <v>3.8690140845070404</v>
      </c>
    </row>
    <row r="14" spans="1:13" ht="21" x14ac:dyDescent="0.35">
      <c r="A14" s="40" t="s">
        <v>33</v>
      </c>
      <c r="B14" s="31">
        <f>MIN('Chemical data for power plant'!$N$2:$N$72)</f>
        <v>1.1000000000000001</v>
      </c>
      <c r="C14" s="31">
        <f>MAX('Chemical data for power plant'!$N$2:$N$72)</f>
        <v>7.9</v>
      </c>
      <c r="D14" s="33">
        <f>AVERAGE('Chemical data for power plant'!$N$2:$N$72)</f>
        <v>3.2830985915492956</v>
      </c>
      <c r="E14" s="35"/>
      <c r="F14" s="42">
        <f>_xlfn.STDEV.P('Chemical data for power plant'!$N$2:$N$72)</f>
        <v>1.6961419283137635</v>
      </c>
      <c r="G14" s="45">
        <f>CORREL('Chemical data for power plant'!$B:$B,'Chemical data for power plant'!$N:$N)</f>
        <v>0.15409101493183275</v>
      </c>
      <c r="L14" s="98" t="s">
        <v>8</v>
      </c>
      <c r="M14" s="33">
        <v>5.7732394366197193</v>
      </c>
    </row>
    <row r="15" spans="1:13" ht="21" x14ac:dyDescent="0.35">
      <c r="A15" s="40" t="s">
        <v>9</v>
      </c>
      <c r="B15" s="31">
        <f>MIN('Chemical data for power plant'!$O$2:$O$72)</f>
        <v>8.6999999999999993</v>
      </c>
      <c r="C15" s="31">
        <f>MAX('Chemical data for power plant'!$O$2:$O$72)</f>
        <v>9.6999999999999993</v>
      </c>
      <c r="D15" s="33">
        <f>AVERAGE('Chemical data for power plant'!$O$2:$O$72)</f>
        <v>9.3014084507042263</v>
      </c>
      <c r="E15" s="35"/>
      <c r="F15" s="42">
        <f>_xlfn.STDEV.P('Chemical data for power plant'!$O$2:$O$72)</f>
        <v>0.21525808796797366</v>
      </c>
      <c r="G15" s="45">
        <f>CORREL('Chemical data for power plant'!$B:$B,'Chemical data for power plant'!$O:$O)</f>
        <v>-0.39201167242556717</v>
      </c>
      <c r="L15" s="98" t="s">
        <v>30</v>
      </c>
      <c r="M15" s="33">
        <v>9.4605633802816929</v>
      </c>
    </row>
    <row r="16" spans="1:13" ht="21" x14ac:dyDescent="0.35">
      <c r="A16" s="40" t="s">
        <v>10</v>
      </c>
      <c r="B16" s="31">
        <f>MIN('Chemical data for power plant'!$P$2:$P$72)</f>
        <v>4.5</v>
      </c>
      <c r="C16" s="31">
        <f>MAX('Chemical data for power plant'!$P$2:$P$72)</f>
        <v>9.5</v>
      </c>
      <c r="D16" s="33">
        <f>AVERAGE('Chemical data for power plant'!$P$2:$P$72)</f>
        <v>6.5267605633802823</v>
      </c>
      <c r="E16" s="35"/>
      <c r="F16" s="42">
        <f>_xlfn.STDEV.P('Chemical data for power plant'!$P$2:$P$72)</f>
        <v>1.4192794984719501</v>
      </c>
      <c r="G16" s="45">
        <f>CORREL('Chemical data for power plant'!$B:$B,'Chemical data for power plant'!$P:$P)</f>
        <v>0.26860286545647033</v>
      </c>
      <c r="L16" s="98" t="s">
        <v>31</v>
      </c>
      <c r="M16" s="33">
        <v>13.195774647887317</v>
      </c>
    </row>
    <row r="17" spans="1:13" ht="21.75" thickBot="1" x14ac:dyDescent="0.4">
      <c r="A17" s="41" t="s">
        <v>11</v>
      </c>
      <c r="B17" s="34">
        <f>MIN('Chemical data for power plant'!$Q$2:$Q$72)</f>
        <v>0.4</v>
      </c>
      <c r="C17" s="34">
        <f>MAX('Chemical data for power plant'!$Q$2:$Q$72)</f>
        <v>7.8</v>
      </c>
      <c r="D17" s="36">
        <f>AVERAGE('Chemical data for power plant'!$Q$2:$Q$72)</f>
        <v>2.0830985915492954</v>
      </c>
      <c r="E17" s="37"/>
      <c r="F17" s="44">
        <f>_xlfn.STDEV.P('Chemical data for power plant'!$Q$2:$Q$72)</f>
        <v>1.8063258105728546</v>
      </c>
      <c r="G17" s="46">
        <f>CORREL('Chemical data for power plant'!$B:$B,'Chemical data for power plant'!$Q:$Q)</f>
        <v>0.10880424117743334</v>
      </c>
      <c r="L17" s="98" t="s">
        <v>32</v>
      </c>
      <c r="M17" s="33">
        <v>4.0169014084507051</v>
      </c>
    </row>
    <row r="18" spans="1:13" ht="21" x14ac:dyDescent="0.25">
      <c r="L18" s="98" t="s">
        <v>33</v>
      </c>
      <c r="M18" s="33">
        <v>3.2830985915492956</v>
      </c>
    </row>
    <row r="19" spans="1:13" ht="21" x14ac:dyDescent="0.25">
      <c r="L19" s="98" t="s">
        <v>9</v>
      </c>
      <c r="M19" s="33">
        <v>9.3014084507042263</v>
      </c>
    </row>
    <row r="20" spans="1:13" ht="21" x14ac:dyDescent="0.25">
      <c r="L20" s="98" t="s">
        <v>10</v>
      </c>
      <c r="M20" s="33">
        <v>6.5267605633802823</v>
      </c>
    </row>
    <row r="21" spans="1:13" ht="21" x14ac:dyDescent="0.25">
      <c r="L21" s="101" t="s">
        <v>11</v>
      </c>
      <c r="M21" s="102">
        <v>2.0830985915492954</v>
      </c>
    </row>
  </sheetData>
  <mergeCells count="1">
    <mergeCell ref="G1:G2"/>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CD87-22DC-4E36-8AF4-E4159A63ECFF}">
  <dimension ref="A3:D11"/>
  <sheetViews>
    <sheetView topLeftCell="B1" workbookViewId="0">
      <selection activeCell="M12" sqref="M12"/>
    </sheetView>
  </sheetViews>
  <sheetFormatPr defaultRowHeight="15" x14ac:dyDescent="0.25"/>
  <cols>
    <col min="1" max="1" width="23.42578125" bestFit="1" customWidth="1"/>
    <col min="2" max="2" width="25" customWidth="1"/>
    <col min="3" max="3" width="19.5703125" bestFit="1" customWidth="1"/>
    <col min="4" max="4" width="32" bestFit="1" customWidth="1"/>
  </cols>
  <sheetData>
    <row r="3" spans="1:4" x14ac:dyDescent="0.25">
      <c r="A3" t="s">
        <v>37</v>
      </c>
      <c r="B3" t="s">
        <v>39</v>
      </c>
      <c r="C3" t="s">
        <v>42</v>
      </c>
      <c r="D3" t="s">
        <v>68</v>
      </c>
    </row>
    <row r="4" spans="1:4" x14ac:dyDescent="0.25">
      <c r="A4">
        <v>837.8</v>
      </c>
      <c r="B4">
        <v>648.29999999999995</v>
      </c>
      <c r="C4">
        <v>695</v>
      </c>
      <c r="D4">
        <v>242.5</v>
      </c>
    </row>
    <row r="7" spans="1:4" x14ac:dyDescent="0.25">
      <c r="A7" t="s">
        <v>69</v>
      </c>
      <c r="B7" t="s">
        <v>70</v>
      </c>
      <c r="C7" t="s">
        <v>71</v>
      </c>
    </row>
    <row r="8" spans="1:4" x14ac:dyDescent="0.25">
      <c r="A8" t="s">
        <v>75</v>
      </c>
      <c r="B8" s="95">
        <v>837.8</v>
      </c>
      <c r="C8" s="95">
        <f>1000-B8</f>
        <v>162.20000000000005</v>
      </c>
    </row>
    <row r="9" spans="1:4" x14ac:dyDescent="0.25">
      <c r="A9" t="s">
        <v>74</v>
      </c>
      <c r="B9" s="95">
        <v>648.29999999999995</v>
      </c>
      <c r="C9" s="95">
        <f t="shared" ref="C9:C11" si="0">1000-B9</f>
        <v>351.70000000000005</v>
      </c>
    </row>
    <row r="10" spans="1:4" x14ac:dyDescent="0.25">
      <c r="A10" t="s">
        <v>73</v>
      </c>
      <c r="B10" s="95">
        <v>695</v>
      </c>
      <c r="C10" s="95">
        <f t="shared" si="0"/>
        <v>305</v>
      </c>
    </row>
    <row r="11" spans="1:4" x14ac:dyDescent="0.25">
      <c r="A11" t="s">
        <v>72</v>
      </c>
      <c r="B11" s="95">
        <v>242.5</v>
      </c>
      <c r="C11" s="95">
        <f t="shared" si="0"/>
        <v>757.5</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F.DASHBOARD</vt:lpstr>
      <vt:lpstr>Chemical data for power plant</vt:lpstr>
      <vt:lpstr>Descriptive Statistics  EEQUAL</vt:lpstr>
      <vt:lpstr>boiler</vt:lpstr>
      <vt:lpstr>Chart for condenser with HYDRAZ</vt:lpstr>
      <vt:lpstr>DASHBOARD</vt:lpstr>
      <vt:lpstr>main steam</vt:lpstr>
      <vt:lpstr>Chart for condenser with DEHA F</vt:lpstr>
      <vt:lpstr>Sheet6</vt:lpstr>
      <vt:lpstr>SLICER</vt:lpstr>
      <vt:lpstr>descriptive Statistics VALUES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 Store</dc:creator>
  <cp:lastModifiedBy>ibrahem alnemr</cp:lastModifiedBy>
  <cp:lastPrinted>2025-12-04T18:39:42Z</cp:lastPrinted>
  <dcterms:created xsi:type="dcterms:W3CDTF">2025-11-27T09:41:18Z</dcterms:created>
  <dcterms:modified xsi:type="dcterms:W3CDTF">2026-01-10T21:16:01Z</dcterms:modified>
</cp:coreProperties>
</file>